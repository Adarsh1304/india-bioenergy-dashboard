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mass_quality" sheetId="1" r:id="rId5"/>
    <sheet state="visible" name="Biomass_quality_final" sheetId="2" r:id="rId6"/>
    <sheet state="visible" name="india_bioenergy" sheetId="3" r:id="rId7"/>
    <sheet state="visible" name="Worlds" sheetId="4" r:id="rId8"/>
    <sheet state="visible" name="india_biomass_production" sheetId="5" r:id="rId9"/>
    <sheet state="visible" name="India_biomass_long_v2" sheetId="6" r:id="rId10"/>
    <sheet state="visible" name="KPI" sheetId="7" r:id="rId11"/>
    <sheet state="visible" name="world_bioenergy" sheetId="8" r:id="rId12"/>
    <sheet state="visible" name="india_reference" sheetId="9" r:id="rId13"/>
  </sheets>
  <definedNames>
    <definedName hidden="1" localSheetId="5" name="_xlnm._FilterDatabase">India_biomass_long_v2!$A$1:$Z$969</definedName>
  </definedNames>
  <calcPr/>
</workbook>
</file>

<file path=xl/sharedStrings.xml><?xml version="1.0" encoding="utf-8"?>
<sst xmlns="http://schemas.openxmlformats.org/spreadsheetml/2006/main" count="3793" uniqueCount="167">
  <si>
    <t>Fuel and heating rate</t>
  </si>
  <si>
    <t>Pine wood 10</t>
  </si>
  <si>
    <t>Pine wood 20</t>
  </si>
  <si>
    <t>Pine wood 30</t>
  </si>
  <si>
    <t>Kiwi 10</t>
  </si>
  <si>
    <t>Kiwi 20</t>
  </si>
  <si>
    <t>Kiwi 30</t>
  </si>
  <si>
    <t>Kiwi N2 10</t>
  </si>
  <si>
    <t>Kiwi N2 20</t>
  </si>
  <si>
    <t>Kiwi N2 30</t>
  </si>
  <si>
    <t>Kiwi N3 10</t>
  </si>
  <si>
    <t>Kiwi N3 20</t>
  </si>
  <si>
    <t>Kiwi N3 30</t>
  </si>
  <si>
    <t>Gorse 10</t>
  </si>
  <si>
    <t>Gorse 20</t>
  </si>
  <si>
    <t>Gorse 30</t>
  </si>
  <si>
    <t>Gorse N2 10</t>
  </si>
  <si>
    <t>Gorse N2 20</t>
  </si>
  <si>
    <t>Gorse N2 30</t>
  </si>
  <si>
    <t>Gorse N3 10</t>
  </si>
  <si>
    <t>Gorse N3 20</t>
  </si>
  <si>
    <t>Gorse N3 30</t>
  </si>
  <si>
    <t xml:space="preserve">Poultry 10 </t>
  </si>
  <si>
    <t xml:space="preserve">Poultry 20 </t>
  </si>
  <si>
    <t xml:space="preserve">Poultry 30 </t>
  </si>
  <si>
    <t>Turkey 10</t>
  </si>
  <si>
    <t>Turkey 20</t>
  </si>
  <si>
    <t>Turkey 30</t>
  </si>
  <si>
    <t>XRF Ash analysis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</si>
  <si>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</si>
  <si>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</si>
  <si>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</si>
  <si>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</si>
  <si>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</si>
  <si>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</si>
  <si>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</si>
  <si>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</si>
  <si>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</si>
  <si>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</si>
  <si>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Mn</t>
  </si>
  <si>
    <t>Fe</t>
  </si>
  <si>
    <t>Zn</t>
  </si>
  <si>
    <t>Ultimate analysis</t>
  </si>
  <si>
    <t>N</t>
  </si>
  <si>
    <t>C</t>
  </si>
  <si>
    <t>H</t>
  </si>
  <si>
    <t>O</t>
  </si>
  <si>
    <t>Heating values [MJ/kg]</t>
  </si>
  <si>
    <t>HHV</t>
  </si>
  <si>
    <t>LHV</t>
  </si>
  <si>
    <t>Proximate analysis</t>
  </si>
  <si>
    <t>Moisture</t>
  </si>
  <si>
    <t>Volatile matter</t>
  </si>
  <si>
    <t>Fixed carbon</t>
  </si>
  <si>
    <t>Ashes</t>
  </si>
  <si>
    <t>Combustion parameters</t>
  </si>
  <si>
    <t>Ti [°C]</t>
  </si>
  <si>
    <t>Tb [°C]</t>
  </si>
  <si>
    <t>Tp [°C]</t>
  </si>
  <si>
    <t>ΔT1/2 [°C]</t>
  </si>
  <si>
    <t>DTGmax</t>
  </si>
  <si>
    <t>DTGmean</t>
  </si>
  <si>
    <t>ti [min]</t>
  </si>
  <si>
    <t>tp [min]</t>
  </si>
  <si>
    <t>Δt1/2 [min]</t>
  </si>
  <si>
    <t>tb [min]</t>
  </si>
  <si>
    <t>Di · 1003</t>
  </si>
  <si>
    <t>Db · 1004</t>
  </si>
  <si>
    <t>S · 1008</t>
  </si>
  <si>
    <t>Hf · 102</t>
  </si>
  <si>
    <t>Fi · 1005</t>
  </si>
  <si>
    <t>Biomass_Type</t>
  </si>
  <si>
    <t>Heating_Rate</t>
  </si>
  <si>
    <t>Parameter</t>
  </si>
  <si>
    <t>Value</t>
  </si>
  <si>
    <t>Analysis_Type</t>
  </si>
  <si>
    <t>Country</t>
  </si>
  <si>
    <t>Year</t>
  </si>
  <si>
    <t>Bioenergy_Value</t>
  </si>
  <si>
    <t>Growth_Rate</t>
  </si>
  <si>
    <t>India_Selected_Country_Share</t>
  </si>
  <si>
    <t>India</t>
  </si>
  <si>
    <t>World_total</t>
  </si>
  <si>
    <t>Total Biomass Available (thousand tonnes) in India</t>
  </si>
  <si>
    <t>States</t>
  </si>
  <si>
    <t>Wheat</t>
  </si>
  <si>
    <t>Rice</t>
  </si>
  <si>
    <t>Maize</t>
  </si>
  <si>
    <t>Bajra</t>
  </si>
  <si>
    <t>Sugarcane</t>
  </si>
  <si>
    <t>Groundnut</t>
  </si>
  <si>
    <t>Rapeseed Mustard</t>
  </si>
  <si>
    <t>Arhar/Tur</t>
  </si>
  <si>
    <t>Total Crops</t>
  </si>
  <si>
    <t>Andaman and Nicobar</t>
  </si>
  <si>
    <t>null</t>
  </si>
  <si>
    <t>Andhra Pradesh</t>
  </si>
  <si>
    <t>Arunachal Pradesh</t>
  </si>
  <si>
    <t>Assam</t>
  </si>
  <si>
    <t>Bihar</t>
  </si>
  <si>
    <t>Chandigarh</t>
  </si>
  <si>
    <t>Chhattisgarh</t>
  </si>
  <si>
    <t>Dadra &amp; Nagar Haveli, and Daman &amp;Diu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</si>
  <si>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</si>
  <si>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</si>
  <si>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</si>
  <si>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</si>
  <si>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</si>
  <si>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</si>
  <si>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</si>
  <si>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</si>
  <si>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</si>
  <si>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</si>
  <si>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</si>
  <si>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</si>
  <si>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</si>
  <si>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null0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</si>
  <si>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</si>
  <si>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</si>
  <si>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</si>
  <si>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</si>
  <si>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</si>
  <si>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</si>
  <si>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</si>
  <si>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</si>
  <si>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</si>
  <si>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</si>
  <si>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</si>
  <si>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</si>
  <si>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</si>
  <si>
    <t>192338.9</t>
  </si>
  <si>
    <t>184538.8</t>
  </si>
  <si>
    <t>69739.4</t>
  </si>
  <si>
    <t>23481.3</t>
  </si>
  <si>
    <t>17887.1</t>
  </si>
  <si>
    <t>17710.2</t>
  </si>
  <si>
    <t>13879.7</t>
  </si>
  <si>
    <t>7234.3</t>
  </si>
  <si>
    <t>754484.9</t>
  </si>
  <si>
    <t>Surplus Biomass Residue (Thousand Tonnes) in India</t>
  </si>
  <si>
    <t>Power Potential (MW)</t>
  </si>
  <si>
    <t>41726.9</t>
  </si>
  <si>
    <t>33372.5</t>
  </si>
  <si>
    <t>15206.7</t>
  </si>
  <si>
    <t>6379.1</t>
  </si>
  <si>
    <t>4899.2</t>
  </si>
  <si>
    <t>3842.2</t>
  </si>
  <si>
    <t>3641.8</t>
  </si>
  <si>
    <t>1543.1</t>
  </si>
  <si>
    <t>228516.9</t>
  </si>
  <si>
    <t>28445.5</t>
  </si>
  <si>
    <t>States_and_UT</t>
  </si>
  <si>
    <t>Crop</t>
  </si>
  <si>
    <t>Biomass_value</t>
  </si>
  <si>
    <t>Uttrakhand</t>
  </si>
  <si>
    <t>KPI</t>
  </si>
  <si>
    <t>Total India Biomass</t>
  </si>
  <si>
    <t>Avg Biomass Quality</t>
  </si>
  <si>
    <t>India Global Rank</t>
  </si>
  <si>
    <t>World_comparision_with_India</t>
  </si>
  <si>
    <t>Brazil</t>
  </si>
  <si>
    <t>China</t>
  </si>
  <si>
    <t>Germany</t>
  </si>
  <si>
    <t>Indonesia</t>
  </si>
  <si>
    <t>Italy</t>
  </si>
  <si>
    <t>Japan</t>
  </si>
  <si>
    <t>United States of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</si>
</sst>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%"/>
    <numFmt numFmtId="165" formatCode="###0"/>
  </numFmts>
  <fonts count="19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/>
    <font>
      <sz val="11.0"/>
      <color rgb="FF000000"/>
      <name val="&quot;Aptos Narrow&quot;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4.0"/>
      <color rgb="FF000000"/>
      <name val="Arial"/>
    </font>
    <font>
      <b/>
      <sz val="18.0"/>
      <color theme="1"/>
      <name val="Arial"/>
    </font>
    <font>
      <b/>
      <sz val="12.0"/>
      <color rgb="FF000000"/>
      <name val="Arial"/>
    </font>
    <font>
      <sz val="11.0"/>
      <color rgb="FF000000"/>
      <name val="Arial"/>
    </font>
    <font>
      <b/>
      <sz val="24.0"/>
      <color theme="1"/>
      <name val="Arial"/>
      <scheme val="minor"/>
    </font>
    <font>
      <b/>
      <sz val="24.0"/>
      <color theme="1"/>
      <name val="Arial"/>
    </font>
    <font>
      <sz val="24.0"/>
      <color theme="1"/>
      <name val="Arial"/>
    </font>
    <font>
      <b/>
      <sz val="16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5B9BD5"/>
        <bgColor rgb="FF5B9BD5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B8CCE4"/>
        <bgColor rgb="FFB8CCE4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FFFFF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 shrinkToFit="0" wrapText="0"/>
    </xf>
    <xf borderId="2" fillId="5" fontId="3" numFmtId="0" xfId="0" applyAlignment="1" applyBorder="1" applyFill="1" applyFont="1">
      <alignment horizontal="center" readingOrder="0" shrinkToFit="0" wrapText="0"/>
    </xf>
    <xf borderId="2" fillId="6" fontId="3" numFmtId="0" xfId="0" applyAlignment="1" applyBorder="1" applyFill="1" applyFont="1">
      <alignment horizontal="center" readingOrder="0" shrinkToFit="0" wrapText="0"/>
    </xf>
    <xf borderId="2" fillId="7" fontId="3" numFmtId="0" xfId="0" applyAlignment="1" applyBorder="1" applyFill="1" applyFont="1">
      <alignment horizontal="center" readingOrder="0" shrinkToFit="0" wrapText="0"/>
    </xf>
    <xf borderId="2" fillId="8" fontId="3" numFmtId="0" xfId="0" applyAlignment="1" applyBorder="1" applyFill="1" applyFont="1">
      <alignment horizontal="center" readingOrder="0" shrinkToFit="0" wrapText="0"/>
    </xf>
    <xf borderId="2" fillId="9" fontId="3" numFmtId="0" xfId="0" applyAlignment="1" applyBorder="1" applyFill="1" applyFont="1">
      <alignment horizontal="center" readingOrder="0" shrinkToFit="0" wrapText="0"/>
    </xf>
    <xf borderId="2" fillId="10" fontId="3" numFmtId="0" xfId="0" applyAlignment="1" applyBorder="1" applyFill="1" applyFont="1">
      <alignment horizontal="center" readingOrder="0" shrinkToFit="0" wrapText="0"/>
    </xf>
    <xf borderId="2" fillId="11" fontId="3" numFmtId="0" xfId="0" applyAlignment="1" applyBorder="1" applyFill="1" applyFont="1">
      <alignment horizontal="center" readingOrder="0" shrinkToFit="0" wrapText="0"/>
    </xf>
    <xf borderId="2" fillId="12" fontId="3" numFmtId="0" xfId="0" applyAlignment="1" applyBorder="1" applyFill="1" applyFon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1" fillId="13" fontId="1" numFmtId="0" xfId="0" applyAlignment="1" applyBorder="1" applyFill="1" applyFont="1">
      <alignment horizontal="center" readingOrder="0" shrinkToFit="0" wrapText="0"/>
    </xf>
    <xf borderId="2" fillId="13" fontId="4" numFmtId="10" xfId="0" applyAlignment="1" applyBorder="1" applyFont="1" applyNumberFormat="1">
      <alignment horizontal="center" readingOrder="0" shrinkToFit="0" wrapText="0"/>
    </xf>
    <xf borderId="4" fillId="13" fontId="4" numFmtId="10" xfId="0" applyAlignment="1" applyBorder="1" applyFont="1" applyNumberFormat="1">
      <alignment horizontal="center" readingOrder="0" shrinkToFit="0" wrapText="0"/>
    </xf>
    <xf borderId="2" fillId="13" fontId="5" numFmtId="0" xfId="0" applyAlignment="1" applyBorder="1" applyFont="1">
      <alignment horizontal="center" readingOrder="0" shrinkToFit="0" wrapText="0"/>
    </xf>
    <xf borderId="3" fillId="0" fontId="6" numFmtId="0" xfId="0" applyBorder="1" applyFont="1"/>
    <xf borderId="4" fillId="13" fontId="5" numFmtId="0" xfId="0" applyAlignment="1" applyBorder="1" applyFont="1">
      <alignment horizontal="center" readingOrder="0" shrinkToFit="0" wrapText="0"/>
    </xf>
    <xf borderId="5" fillId="0" fontId="6" numFmtId="0" xfId="0" applyBorder="1" applyFont="1"/>
    <xf borderId="3" fillId="3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10" xfId="0" applyAlignment="1" applyBorder="1" applyFont="1" applyNumberFormat="1">
      <alignment horizontal="center" readingOrder="0" shrinkToFit="0" wrapText="0"/>
    </xf>
    <xf borderId="6" fillId="3" fontId="2" numFmtId="0" xfId="0" applyAlignment="1" applyBorder="1" applyFont="1">
      <alignment horizontal="center" readingOrder="0"/>
    </xf>
    <xf borderId="2" fillId="13" fontId="1" numFmtId="0" xfId="0" applyAlignment="1" applyBorder="1" applyFont="1">
      <alignment horizontal="center" readingOrder="0" shrinkToFit="0" wrapText="0"/>
    </xf>
    <xf borderId="7" fillId="0" fontId="6" numFmtId="0" xfId="0" applyBorder="1" applyFont="1"/>
    <xf borderId="6" fillId="0" fontId="6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3" fillId="2" fontId="1" numFmtId="10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vertical="top" wrapText="0"/>
    </xf>
    <xf borderId="2" fillId="13" fontId="7" numFmtId="0" xfId="0" applyAlignment="1" applyBorder="1" applyFont="1">
      <alignment horizontal="center" readingOrder="0" shrinkToFit="0" wrapText="0"/>
    </xf>
    <xf borderId="6" fillId="13" fontId="1" numFmtId="0" xfId="0" applyAlignment="1" applyBorder="1" applyFont="1">
      <alignment horizontal="center" readingOrder="0" shrinkToFit="0" wrapText="0"/>
    </xf>
    <xf borderId="3" fillId="13" fontId="1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9" numFmtId="3" xfId="0" applyAlignment="1" applyFont="1" applyNumberFormat="1">
      <alignment horizontal="center"/>
    </xf>
    <xf borderId="0" fillId="0" fontId="9" numFmtId="4" xfId="0" applyAlignment="1" applyFont="1" applyNumberFormat="1">
      <alignment horizontal="center"/>
    </xf>
    <xf borderId="0" fillId="0" fontId="4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10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0" xfId="0" applyAlignment="1" applyFont="1">
      <alignment readingOrder="0"/>
    </xf>
    <xf borderId="0" fillId="0" fontId="9" numFmtId="0" xfId="0" applyFont="1"/>
    <xf borderId="0" fillId="14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14" fontId="15" numFmtId="0" xfId="0" applyAlignment="1" applyFont="1">
      <alignment horizontal="center" readingOrder="0"/>
    </xf>
    <xf borderId="2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9" numFmtId="0" xfId="0" applyFont="1"/>
    <xf borderId="0" fillId="0" fontId="9" numFmtId="4" xfId="0" applyFont="1" applyNumberFormat="1"/>
    <xf borderId="2" fillId="0" fontId="18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9" numFmtId="4" xfId="0" applyBorder="1" applyFont="1" applyNumberFormat="1"/>
    <xf borderId="2" fillId="0" fontId="9" numFmtId="3" xfId="0" applyAlignment="1" applyBorder="1" applyFont="1" applyNumberForma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3">
    <tableStyle count="4" pivot="0" name="india_bioenerg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india_biomass_productio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india_biomass_production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able1" name="Table1" id="1">
  <tableColumns count="5">
    <tableColumn name="Country" id="1"/>
    <tableColumn name="Year" id="2"/>
    <tableColumn name="Bioenergy_Value" id="3"/>
    <tableColumn name="Growth_Rate" id="4"/>
    <tableColumn name="India_Selected_Country_Share" id="5"/>
  </tableColumns>
  <tableStyleInfo name="india_bioenergy-style" showColumnStripes="0" showFirstColumn="1" showLastColumn="1" showRowStripes="1"/>
</table>
</file>

<file path=xl/tables/table2.xml><?xml version="1.0" encoding="utf-8"?>
<table xmlns="http://schemas.openxmlformats.org/spreadsheetml/2006/main" totalsRowCount="1" ref="A2:J36" displayName="Biomass_Available" name="Biomass_Available" id="2">
  <tableColumns count="10">
    <tableColumn totalsRowLabel="Total" name="States" id="1"/>
    <tableColumn totalsRowLabel="192338.9" name="Wheat" id="2"/>
    <tableColumn totalsRowLabel="184538.8" name="Rice" id="3"/>
    <tableColumn totalsRowLabel="69739.4" name="Maize" id="4"/>
    <tableColumn totalsRowLabel="23481.3" name="Bajra" id="5"/>
    <tableColumn totalsRowLabel="17887.1" name="Sugarcane" id="6"/>
    <tableColumn totalsRowLabel="17710.2" name="Groundnut" id="7"/>
    <tableColumn totalsRowLabel="13879.7" name="Rapeseed Mustard" id="8"/>
    <tableColumn totalsRowLabel="7234.3" name="Arhar/Tur" id="9"/>
    <tableColumn totalsRowLabel="754484.9" name="Total Crops" id="10"/>
  </tableColumns>
  <tableStyleInfo name="india_biomass_production-style" showColumnStripes="0" showFirstColumn="1" showLastColumn="1" showRowStripes="1"/>
</table>
</file>

<file path=xl/tables/table3.xml><?xml version="1.0" encoding="utf-8"?>
<table xmlns="http://schemas.openxmlformats.org/spreadsheetml/2006/main" totalsRowCount="1" ref="A41:K75" displayName="Surplus_Biomass_Residue" name="Surplus_Biomass_Residue" id="3">
  <tableColumns count="11">
    <tableColumn totalsRowLabel="Total" name="States" id="1"/>
    <tableColumn totalsRowLabel="41726.9" name="Rice" id="2"/>
    <tableColumn totalsRowLabel="33372.5" name="Wheat" id="3"/>
    <tableColumn totalsRowLabel="15206.7" name="Maize" id="4"/>
    <tableColumn totalsRowLabel="6379.1" name="Sugarcane" id="5"/>
    <tableColumn totalsRowLabel="4899.2" name="Arhar/Tur" id="6"/>
    <tableColumn totalsRowLabel="3842.2" name="Bajra" id="7"/>
    <tableColumn totalsRowLabel="3641.8" name="Rapeseed Mustard" id="8"/>
    <tableColumn totalsRowLabel="1543.1" name="Groundnut" id="9"/>
    <tableColumn totalsRowLabel="228516.9" name="Total" id="10"/>
    <tableColumn totalsRowLabel="28445.5" name="Power Potential (MW)" id="11"/>
  </tableColumns>
  <tableStyleInfo name="india_biomass_product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13"/>
    <col customWidth="1" min="3" max="5" width="16.63"/>
    <col customWidth="1" min="6" max="8" width="11.88"/>
    <col customWidth="1" min="9" max="14" width="14.38"/>
    <col customWidth="1" min="15" max="17" width="13.0"/>
    <col customWidth="1" min="18" max="23" width="15.63"/>
    <col customWidth="1" min="24" max="26" width="14.5"/>
    <col customWidth="1" min="27" max="29" width="13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7" t="s">
        <v>13</v>
      </c>
      <c r="P1" s="7" t="s">
        <v>14</v>
      </c>
      <c r="Q1" s="7" t="s">
        <v>15</v>
      </c>
      <c r="R1" s="8" t="s">
        <v>16</v>
      </c>
      <c r="S1" s="8" t="s">
        <v>17</v>
      </c>
      <c r="T1" s="8" t="s">
        <v>18</v>
      </c>
      <c r="U1" s="9" t="s">
        <v>19</v>
      </c>
      <c r="V1" s="9" t="s">
        <v>20</v>
      </c>
      <c r="W1" s="9" t="s">
        <v>21</v>
      </c>
      <c r="X1" s="10" t="s">
        <v>22</v>
      </c>
      <c r="Y1" s="10" t="s">
        <v>23</v>
      </c>
      <c r="Z1" s="10" t="s">
        <v>24</v>
      </c>
      <c r="AA1" s="11" t="s">
        <v>25</v>
      </c>
      <c r="AB1" s="11" t="s">
        <v>26</v>
      </c>
      <c r="AC1" s="11" t="s">
        <v>27</v>
      </c>
    </row>
    <row r="2">
      <c r="A2" s="12" t="s">
        <v>28</v>
      </c>
      <c r="B2" s="13" t="s">
        <v>29</v>
      </c>
      <c r="C2" s="14">
        <v>0.007</v>
      </c>
      <c r="D2" s="14">
        <v>0.007</v>
      </c>
      <c r="E2" s="14">
        <v>0.007</v>
      </c>
      <c r="F2" s="15">
        <v>0.072</v>
      </c>
      <c r="G2" s="15">
        <v>0.072</v>
      </c>
      <c r="H2" s="15">
        <v>0.072</v>
      </c>
      <c r="I2" s="14">
        <v>0.077</v>
      </c>
      <c r="J2" s="14">
        <v>0.077</v>
      </c>
      <c r="K2" s="14">
        <v>0.077</v>
      </c>
      <c r="L2" s="14">
        <v>0.13</v>
      </c>
      <c r="M2" s="14">
        <v>0.13</v>
      </c>
      <c r="N2" s="14">
        <v>0.13</v>
      </c>
      <c r="O2" s="14">
        <v>0.116</v>
      </c>
      <c r="P2" s="14">
        <v>0.116</v>
      </c>
      <c r="Q2" s="14">
        <v>0.116</v>
      </c>
      <c r="R2" s="14">
        <v>0.009</v>
      </c>
      <c r="S2" s="14">
        <v>0.009</v>
      </c>
      <c r="T2" s="14">
        <v>0.009</v>
      </c>
      <c r="U2" s="14">
        <v>0.01</v>
      </c>
      <c r="V2" s="14">
        <v>0.01</v>
      </c>
      <c r="W2" s="14">
        <v>0.01</v>
      </c>
      <c r="X2" s="16">
        <v>0.0</v>
      </c>
      <c r="Y2" s="16">
        <v>0.0</v>
      </c>
      <c r="Z2" s="16">
        <v>0.0</v>
      </c>
      <c r="AA2" s="16">
        <v>0.0</v>
      </c>
      <c r="AB2" s="16">
        <v>0.0</v>
      </c>
      <c r="AC2" s="16">
        <v>0.0</v>
      </c>
    </row>
    <row r="3">
      <c r="A3" s="17"/>
      <c r="B3" s="13" t="s">
        <v>30</v>
      </c>
      <c r="C3" s="14">
        <v>0.155</v>
      </c>
      <c r="D3" s="14">
        <v>0.155</v>
      </c>
      <c r="E3" s="14">
        <v>0.155</v>
      </c>
      <c r="F3" s="15">
        <v>0.08</v>
      </c>
      <c r="G3" s="15">
        <v>0.08</v>
      </c>
      <c r="H3" s="15">
        <v>0.08</v>
      </c>
      <c r="I3" s="14">
        <v>0.048</v>
      </c>
      <c r="J3" s="14">
        <v>0.048</v>
      </c>
      <c r="K3" s="14">
        <v>0.048</v>
      </c>
      <c r="L3" s="14">
        <v>0.068</v>
      </c>
      <c r="M3" s="14">
        <v>0.068</v>
      </c>
      <c r="N3" s="14">
        <v>0.068</v>
      </c>
      <c r="O3" s="14">
        <v>0.072</v>
      </c>
      <c r="P3" s="14">
        <v>0.072</v>
      </c>
      <c r="Q3" s="14">
        <v>0.072</v>
      </c>
      <c r="R3" s="14">
        <v>0.04</v>
      </c>
      <c r="S3" s="14">
        <v>0.04</v>
      </c>
      <c r="T3" s="14">
        <v>0.04</v>
      </c>
      <c r="U3" s="14">
        <v>0.037</v>
      </c>
      <c r="V3" s="14">
        <v>0.037</v>
      </c>
      <c r="W3" s="14">
        <v>0.037</v>
      </c>
      <c r="X3" s="16">
        <v>0.0</v>
      </c>
      <c r="Y3" s="16">
        <v>0.0</v>
      </c>
      <c r="Z3" s="16">
        <v>0.0</v>
      </c>
      <c r="AA3" s="16">
        <v>0.0</v>
      </c>
      <c r="AB3" s="16">
        <v>0.0</v>
      </c>
      <c r="AC3" s="16">
        <v>0.0</v>
      </c>
    </row>
    <row r="4">
      <c r="A4" s="17"/>
      <c r="B4" s="13" t="s">
        <v>31</v>
      </c>
      <c r="C4" s="14">
        <v>0.22</v>
      </c>
      <c r="D4" s="14">
        <v>0.22</v>
      </c>
      <c r="E4" s="14">
        <v>0.22</v>
      </c>
      <c r="F4" s="15">
        <v>0.106</v>
      </c>
      <c r="G4" s="15">
        <v>0.106</v>
      </c>
      <c r="H4" s="15">
        <v>0.106</v>
      </c>
      <c r="I4" s="14">
        <v>0.118</v>
      </c>
      <c r="J4" s="14">
        <v>0.118</v>
      </c>
      <c r="K4" s="14">
        <v>0.118</v>
      </c>
      <c r="L4" s="14">
        <v>0.023</v>
      </c>
      <c r="M4" s="14">
        <v>0.023</v>
      </c>
      <c r="N4" s="14">
        <v>0.023</v>
      </c>
      <c r="O4" s="14">
        <v>0.044</v>
      </c>
      <c r="P4" s="14">
        <v>0.044</v>
      </c>
      <c r="Q4" s="14">
        <v>0.044</v>
      </c>
      <c r="R4" s="14">
        <v>0.104</v>
      </c>
      <c r="S4" s="14">
        <v>0.104</v>
      </c>
      <c r="T4" s="14">
        <v>0.104</v>
      </c>
      <c r="U4" s="14">
        <v>0.043</v>
      </c>
      <c r="V4" s="14">
        <v>0.043</v>
      </c>
      <c r="W4" s="14">
        <v>0.043</v>
      </c>
      <c r="X4" s="14">
        <v>0.005</v>
      </c>
      <c r="Y4" s="14">
        <v>0.005</v>
      </c>
      <c r="Z4" s="14">
        <v>0.005</v>
      </c>
      <c r="AA4" s="14">
        <v>0.003</v>
      </c>
      <c r="AB4" s="14">
        <v>0.003</v>
      </c>
      <c r="AC4" s="14">
        <v>0.003</v>
      </c>
    </row>
    <row r="5">
      <c r="A5" s="17"/>
      <c r="B5" s="13" t="s">
        <v>32</v>
      </c>
      <c r="C5" s="14">
        <v>0.114</v>
      </c>
      <c r="D5" s="14">
        <v>0.114</v>
      </c>
      <c r="E5" s="14">
        <v>0.114</v>
      </c>
      <c r="F5" s="15">
        <v>0.0</v>
      </c>
      <c r="G5" s="15">
        <v>0.0</v>
      </c>
      <c r="H5" s="15">
        <v>0.0</v>
      </c>
      <c r="I5" s="14">
        <v>0.34</v>
      </c>
      <c r="J5" s="14">
        <v>0.34</v>
      </c>
      <c r="K5" s="14">
        <v>0.34</v>
      </c>
      <c r="L5" s="14">
        <v>0.097</v>
      </c>
      <c r="M5" s="14">
        <v>0.097</v>
      </c>
      <c r="N5" s="14">
        <v>0.097</v>
      </c>
      <c r="O5" s="14">
        <v>0.117</v>
      </c>
      <c r="P5" s="14">
        <v>0.117</v>
      </c>
      <c r="Q5" s="14">
        <v>0.117</v>
      </c>
      <c r="R5" s="14">
        <v>0.312</v>
      </c>
      <c r="S5" s="14">
        <v>0.312</v>
      </c>
      <c r="T5" s="14">
        <v>0.312</v>
      </c>
      <c r="U5" s="14">
        <v>0.154</v>
      </c>
      <c r="V5" s="14">
        <v>0.154</v>
      </c>
      <c r="W5" s="14">
        <v>0.154</v>
      </c>
      <c r="X5" s="14">
        <v>0.016</v>
      </c>
      <c r="Y5" s="14">
        <v>0.016</v>
      </c>
      <c r="Z5" s="14">
        <v>0.016</v>
      </c>
      <c r="AA5" s="14">
        <v>0.012</v>
      </c>
      <c r="AB5" s="14">
        <v>0.012</v>
      </c>
      <c r="AC5" s="14">
        <v>0.012</v>
      </c>
    </row>
    <row r="6">
      <c r="A6" s="17"/>
      <c r="B6" s="13" t="s">
        <v>33</v>
      </c>
      <c r="C6" s="14">
        <v>0.01</v>
      </c>
      <c r="D6" s="14">
        <v>0.01</v>
      </c>
      <c r="E6" s="14">
        <v>0.01</v>
      </c>
      <c r="F6" s="15">
        <v>0.032</v>
      </c>
      <c r="G6" s="15">
        <v>0.032</v>
      </c>
      <c r="H6" s="15">
        <v>0.032</v>
      </c>
      <c r="I6" s="14">
        <v>0.014</v>
      </c>
      <c r="J6" s="14">
        <v>0.014</v>
      </c>
      <c r="K6" s="14">
        <v>0.014</v>
      </c>
      <c r="L6" s="14">
        <v>0.026</v>
      </c>
      <c r="M6" s="14">
        <v>0.026</v>
      </c>
      <c r="N6" s="14">
        <v>0.026</v>
      </c>
      <c r="O6" s="14">
        <v>0.028</v>
      </c>
      <c r="P6" s="14">
        <v>0.028</v>
      </c>
      <c r="Q6" s="14">
        <v>0.028</v>
      </c>
      <c r="R6" s="14">
        <v>0.025</v>
      </c>
      <c r="S6" s="14">
        <v>0.025</v>
      </c>
      <c r="T6" s="14">
        <v>0.025</v>
      </c>
      <c r="U6" s="14">
        <v>0.022</v>
      </c>
      <c r="V6" s="14">
        <v>0.022</v>
      </c>
      <c r="W6" s="14">
        <v>0.022</v>
      </c>
      <c r="X6" s="14">
        <v>0.175</v>
      </c>
      <c r="Y6" s="14">
        <v>0.175</v>
      </c>
      <c r="Z6" s="14">
        <v>0.175</v>
      </c>
      <c r="AA6" s="14">
        <v>0.271</v>
      </c>
      <c r="AB6" s="14">
        <v>0.271</v>
      </c>
      <c r="AC6" s="14">
        <v>0.271</v>
      </c>
    </row>
    <row r="7">
      <c r="A7" s="17"/>
      <c r="B7" s="13" t="s">
        <v>34</v>
      </c>
      <c r="C7" s="14">
        <v>0.031</v>
      </c>
      <c r="D7" s="14">
        <v>0.031</v>
      </c>
      <c r="E7" s="14">
        <v>0.031</v>
      </c>
      <c r="F7" s="15">
        <v>0.062</v>
      </c>
      <c r="G7" s="15">
        <v>0.062</v>
      </c>
      <c r="H7" s="15">
        <v>0.062</v>
      </c>
      <c r="I7" s="14">
        <v>0.037</v>
      </c>
      <c r="J7" s="14">
        <v>0.037</v>
      </c>
      <c r="K7" s="14">
        <v>0.037</v>
      </c>
      <c r="L7" s="14">
        <v>0.06</v>
      </c>
      <c r="M7" s="14">
        <v>0.06</v>
      </c>
      <c r="N7" s="14">
        <v>0.06</v>
      </c>
      <c r="O7" s="14">
        <v>0.055</v>
      </c>
      <c r="P7" s="14">
        <v>0.055</v>
      </c>
      <c r="Q7" s="14">
        <v>0.055</v>
      </c>
      <c r="R7" s="14">
        <v>0.019</v>
      </c>
      <c r="S7" s="14">
        <v>0.019</v>
      </c>
      <c r="T7" s="14">
        <v>0.019</v>
      </c>
      <c r="U7" s="14">
        <v>0.018</v>
      </c>
      <c r="V7" s="14">
        <v>0.018</v>
      </c>
      <c r="W7" s="14">
        <v>0.018</v>
      </c>
      <c r="X7" s="14">
        <v>0.047</v>
      </c>
      <c r="Y7" s="14">
        <v>0.047</v>
      </c>
      <c r="Z7" s="14">
        <v>0.047</v>
      </c>
      <c r="AA7" s="14">
        <v>0.049</v>
      </c>
      <c r="AB7" s="14">
        <v>0.049</v>
      </c>
      <c r="AC7" s="14">
        <v>0.049</v>
      </c>
    </row>
    <row r="8">
      <c r="A8" s="17"/>
      <c r="B8" s="13" t="s">
        <v>35</v>
      </c>
      <c r="C8" s="14">
        <v>0.011</v>
      </c>
      <c r="D8" s="14">
        <v>0.011</v>
      </c>
      <c r="E8" s="14">
        <v>0.011</v>
      </c>
      <c r="F8" s="15">
        <v>0.08</v>
      </c>
      <c r="G8" s="15">
        <v>0.08</v>
      </c>
      <c r="H8" s="15">
        <v>0.08</v>
      </c>
      <c r="I8" s="14">
        <v>0.028</v>
      </c>
      <c r="J8" s="14">
        <v>0.028</v>
      </c>
      <c r="K8" s="14">
        <v>0.028</v>
      </c>
      <c r="L8" s="14">
        <v>0.057</v>
      </c>
      <c r="M8" s="14">
        <v>0.057</v>
      </c>
      <c r="N8" s="14">
        <v>0.057</v>
      </c>
      <c r="O8" s="14">
        <v>0.036</v>
      </c>
      <c r="P8" s="14">
        <v>0.036</v>
      </c>
      <c r="Q8" s="14">
        <v>0.036</v>
      </c>
      <c r="R8" s="14">
        <v>0.003</v>
      </c>
      <c r="S8" s="14">
        <v>0.003</v>
      </c>
      <c r="T8" s="14">
        <v>0.003</v>
      </c>
      <c r="U8" s="14">
        <v>0.004</v>
      </c>
      <c r="V8" s="14">
        <v>0.004</v>
      </c>
      <c r="W8" s="14">
        <v>0.004</v>
      </c>
      <c r="X8" s="14">
        <v>0.198</v>
      </c>
      <c r="Y8" s="14">
        <v>0.198</v>
      </c>
      <c r="Z8" s="14">
        <v>0.198</v>
      </c>
      <c r="AA8" s="14">
        <v>0.159</v>
      </c>
      <c r="AB8" s="14">
        <v>0.159</v>
      </c>
      <c r="AC8" s="14">
        <v>0.159</v>
      </c>
    </row>
    <row r="9">
      <c r="A9" s="17"/>
      <c r="B9" s="13" t="s">
        <v>36</v>
      </c>
      <c r="C9" s="14">
        <v>0.213</v>
      </c>
      <c r="D9" s="14">
        <v>0.213</v>
      </c>
      <c r="E9" s="14">
        <v>0.213</v>
      </c>
      <c r="F9" s="15">
        <v>0.315</v>
      </c>
      <c r="G9" s="15">
        <v>0.315</v>
      </c>
      <c r="H9" s="15">
        <v>0.315</v>
      </c>
      <c r="I9" s="14">
        <v>0.147</v>
      </c>
      <c r="J9" s="14">
        <v>0.147</v>
      </c>
      <c r="K9" s="14">
        <v>0.147</v>
      </c>
      <c r="L9" s="14">
        <v>0.254</v>
      </c>
      <c r="M9" s="14">
        <v>0.254</v>
      </c>
      <c r="N9" s="14">
        <v>0.254</v>
      </c>
      <c r="O9" s="14">
        <v>0.268</v>
      </c>
      <c r="P9" s="14">
        <v>0.268</v>
      </c>
      <c r="Q9" s="14">
        <v>0.268</v>
      </c>
      <c r="R9" s="14">
        <v>0.211</v>
      </c>
      <c r="S9" s="14">
        <v>0.211</v>
      </c>
      <c r="T9" s="14">
        <v>0.211</v>
      </c>
      <c r="U9" s="14">
        <v>0.182</v>
      </c>
      <c r="V9" s="14">
        <v>0.182</v>
      </c>
      <c r="W9" s="14">
        <v>0.182</v>
      </c>
      <c r="X9" s="14">
        <v>0.382</v>
      </c>
      <c r="Y9" s="14">
        <v>0.382</v>
      </c>
      <c r="Z9" s="14">
        <v>0.382</v>
      </c>
      <c r="AA9" s="14">
        <v>0.316</v>
      </c>
      <c r="AB9" s="14">
        <v>0.316</v>
      </c>
      <c r="AC9" s="14">
        <v>0.316</v>
      </c>
    </row>
    <row r="10">
      <c r="A10" s="17"/>
      <c r="B10" s="13" t="s">
        <v>37</v>
      </c>
      <c r="C10" s="14">
        <v>0.19</v>
      </c>
      <c r="D10" s="14">
        <v>0.19</v>
      </c>
      <c r="E10" s="14">
        <v>0.19</v>
      </c>
      <c r="F10" s="15">
        <v>0.21</v>
      </c>
      <c r="G10" s="15">
        <v>0.21</v>
      </c>
      <c r="H10" s="15">
        <v>0.21</v>
      </c>
      <c r="I10" s="14">
        <v>0.124</v>
      </c>
      <c r="J10" s="14">
        <v>0.124</v>
      </c>
      <c r="K10" s="14">
        <v>0.124</v>
      </c>
      <c r="L10" s="14">
        <v>0.222</v>
      </c>
      <c r="M10" s="14">
        <v>0.222</v>
      </c>
      <c r="N10" s="14">
        <v>0.222</v>
      </c>
      <c r="O10" s="14">
        <v>0.18</v>
      </c>
      <c r="P10" s="14">
        <v>0.18</v>
      </c>
      <c r="Q10" s="14">
        <v>0.18</v>
      </c>
      <c r="R10" s="14">
        <v>0.235</v>
      </c>
      <c r="S10" s="14">
        <v>0.235</v>
      </c>
      <c r="T10" s="14">
        <v>0.235</v>
      </c>
      <c r="U10" s="14">
        <v>0.499</v>
      </c>
      <c r="V10" s="14">
        <v>0.499</v>
      </c>
      <c r="W10" s="14">
        <v>0.499</v>
      </c>
      <c r="X10" s="14">
        <v>0.149</v>
      </c>
      <c r="Y10" s="14">
        <v>0.149</v>
      </c>
      <c r="Z10" s="14">
        <v>0.149</v>
      </c>
      <c r="AA10" s="14">
        <v>0.176</v>
      </c>
      <c r="AB10" s="14">
        <v>0.176</v>
      </c>
      <c r="AC10" s="14">
        <v>0.176</v>
      </c>
    </row>
    <row r="11">
      <c r="A11" s="17"/>
      <c r="B11" s="13" t="s">
        <v>38</v>
      </c>
      <c r="C11" s="14">
        <v>0.002</v>
      </c>
      <c r="D11" s="14">
        <v>0.002</v>
      </c>
      <c r="E11" s="14">
        <v>0.002</v>
      </c>
      <c r="F11" s="18">
        <v>0.0</v>
      </c>
      <c r="G11" s="18">
        <v>0.0</v>
      </c>
      <c r="H11" s="18">
        <v>0.0</v>
      </c>
      <c r="I11" s="14">
        <v>0.001</v>
      </c>
      <c r="J11" s="14">
        <v>0.001</v>
      </c>
      <c r="K11" s="14">
        <v>0.001</v>
      </c>
      <c r="L11" s="14">
        <v>0.001</v>
      </c>
      <c r="M11" s="14">
        <v>0.001</v>
      </c>
      <c r="N11" s="14">
        <v>0.001</v>
      </c>
      <c r="O11" s="14">
        <v>0.004</v>
      </c>
      <c r="P11" s="14">
        <v>0.004</v>
      </c>
      <c r="Q11" s="14">
        <v>0.004</v>
      </c>
      <c r="R11" s="14">
        <v>0.002</v>
      </c>
      <c r="S11" s="14">
        <v>0.002</v>
      </c>
      <c r="T11" s="14">
        <v>0.002</v>
      </c>
      <c r="U11" s="14">
        <v>0.001</v>
      </c>
      <c r="V11" s="14">
        <v>0.001</v>
      </c>
      <c r="W11" s="14">
        <v>0.001</v>
      </c>
      <c r="X11" s="16">
        <v>0.0</v>
      </c>
      <c r="Y11" s="16">
        <v>0.0</v>
      </c>
      <c r="Z11" s="16">
        <v>0.0</v>
      </c>
      <c r="AA11" s="16">
        <v>0.0</v>
      </c>
      <c r="AB11" s="16">
        <v>0.0</v>
      </c>
      <c r="AC11" s="16">
        <v>0.0</v>
      </c>
    </row>
    <row r="12">
      <c r="A12" s="17"/>
      <c r="B12" s="13" t="s">
        <v>39</v>
      </c>
      <c r="C12" s="14">
        <v>0.019</v>
      </c>
      <c r="D12" s="14">
        <v>0.019</v>
      </c>
      <c r="E12" s="14">
        <v>0.019</v>
      </c>
      <c r="F12" s="15">
        <v>0.011</v>
      </c>
      <c r="G12" s="15">
        <v>0.011</v>
      </c>
      <c r="H12" s="15">
        <v>0.011</v>
      </c>
      <c r="I12" s="14">
        <v>0.018</v>
      </c>
      <c r="J12" s="14">
        <v>0.018</v>
      </c>
      <c r="K12" s="14">
        <v>0.018</v>
      </c>
      <c r="L12" s="14">
        <v>0.024</v>
      </c>
      <c r="M12" s="14">
        <v>0.024</v>
      </c>
      <c r="N12" s="14">
        <v>0.024</v>
      </c>
      <c r="O12" s="14">
        <v>0.022</v>
      </c>
      <c r="P12" s="14">
        <v>0.022</v>
      </c>
      <c r="Q12" s="14">
        <v>0.022</v>
      </c>
      <c r="R12" s="14">
        <v>0.003</v>
      </c>
      <c r="S12" s="14">
        <v>0.003</v>
      </c>
      <c r="T12" s="14">
        <v>0.003</v>
      </c>
      <c r="U12" s="14">
        <v>0.002</v>
      </c>
      <c r="V12" s="14">
        <v>0.002</v>
      </c>
      <c r="W12" s="14">
        <v>0.002</v>
      </c>
      <c r="X12" s="14">
        <v>0.009</v>
      </c>
      <c r="Y12" s="14">
        <v>0.009</v>
      </c>
      <c r="Z12" s="14">
        <v>0.009</v>
      </c>
      <c r="AA12" s="14">
        <v>0.004</v>
      </c>
      <c r="AB12" s="14">
        <v>0.004</v>
      </c>
      <c r="AC12" s="14">
        <v>0.004</v>
      </c>
    </row>
    <row r="13">
      <c r="A13" s="17"/>
      <c r="B13" s="13" t="s">
        <v>40</v>
      </c>
      <c r="C13" s="14">
        <v>0.021</v>
      </c>
      <c r="D13" s="14">
        <v>0.021</v>
      </c>
      <c r="E13" s="14">
        <v>0.021</v>
      </c>
      <c r="F13" s="15">
        <v>0.026</v>
      </c>
      <c r="G13" s="15">
        <v>0.026</v>
      </c>
      <c r="H13" s="15">
        <v>0.026</v>
      </c>
      <c r="I13" s="14">
        <v>0.046</v>
      </c>
      <c r="J13" s="14">
        <v>0.046</v>
      </c>
      <c r="K13" s="14">
        <v>0.046</v>
      </c>
      <c r="L13" s="14">
        <v>0.035</v>
      </c>
      <c r="M13" s="14">
        <v>0.035</v>
      </c>
      <c r="N13" s="14">
        <v>0.035</v>
      </c>
      <c r="O13" s="14">
        <v>0.045</v>
      </c>
      <c r="P13" s="14">
        <v>0.045</v>
      </c>
      <c r="Q13" s="14">
        <v>0.045</v>
      </c>
      <c r="R13" s="14">
        <v>0.034</v>
      </c>
      <c r="S13" s="14">
        <v>0.034</v>
      </c>
      <c r="T13" s="14">
        <v>0.034</v>
      </c>
      <c r="U13" s="14">
        <v>0.025</v>
      </c>
      <c r="V13" s="14">
        <v>0.025</v>
      </c>
      <c r="W13" s="14">
        <v>0.025</v>
      </c>
      <c r="X13" s="14">
        <v>0.01</v>
      </c>
      <c r="Y13" s="14">
        <v>0.01</v>
      </c>
      <c r="Z13" s="14">
        <v>0.01</v>
      </c>
      <c r="AA13" s="14">
        <v>0.007</v>
      </c>
      <c r="AB13" s="14">
        <v>0.007</v>
      </c>
      <c r="AC13" s="14">
        <v>0.007</v>
      </c>
    </row>
    <row r="14">
      <c r="A14" s="19"/>
      <c r="B14" s="13" t="s">
        <v>41</v>
      </c>
      <c r="C14" s="14">
        <v>0.002</v>
      </c>
      <c r="D14" s="14">
        <v>0.002</v>
      </c>
      <c r="E14" s="14">
        <v>0.002</v>
      </c>
      <c r="F14" s="15">
        <v>0.002</v>
      </c>
      <c r="G14" s="15">
        <v>0.002</v>
      </c>
      <c r="H14" s="15">
        <v>0.002</v>
      </c>
      <c r="I14" s="14">
        <v>0.002</v>
      </c>
      <c r="J14" s="14">
        <v>0.002</v>
      </c>
      <c r="K14" s="14">
        <v>0.002</v>
      </c>
      <c r="L14" s="14">
        <v>0.004</v>
      </c>
      <c r="M14" s="14">
        <v>0.004</v>
      </c>
      <c r="N14" s="14">
        <v>0.004</v>
      </c>
      <c r="O14" s="14">
        <v>0.003</v>
      </c>
      <c r="P14" s="14">
        <v>0.003</v>
      </c>
      <c r="Q14" s="14">
        <v>0.003</v>
      </c>
      <c r="R14" s="14">
        <v>0.003</v>
      </c>
      <c r="S14" s="14">
        <v>0.003</v>
      </c>
      <c r="T14" s="14">
        <v>0.003</v>
      </c>
      <c r="U14" s="14">
        <v>0.002</v>
      </c>
      <c r="V14" s="14">
        <v>0.002</v>
      </c>
      <c r="W14" s="14">
        <v>0.002</v>
      </c>
      <c r="X14" s="14">
        <v>0.007</v>
      </c>
      <c r="Y14" s="14">
        <v>0.007</v>
      </c>
      <c r="Z14" s="14">
        <v>0.007</v>
      </c>
      <c r="AA14" s="14">
        <v>0.004</v>
      </c>
      <c r="AB14" s="14">
        <v>0.004</v>
      </c>
      <c r="AC14" s="14">
        <v>0.004</v>
      </c>
    </row>
    <row r="15">
      <c r="A15" s="20" t="s">
        <v>42</v>
      </c>
      <c r="B15" s="21" t="s">
        <v>43</v>
      </c>
      <c r="C15" s="22">
        <v>0.001</v>
      </c>
      <c r="D15" s="22">
        <v>0.001</v>
      </c>
      <c r="E15" s="22">
        <v>0.001</v>
      </c>
      <c r="F15" s="22">
        <v>0.01</v>
      </c>
      <c r="G15" s="22">
        <v>0.01</v>
      </c>
      <c r="H15" s="22">
        <v>0.01</v>
      </c>
      <c r="I15" s="22">
        <v>0.008</v>
      </c>
      <c r="J15" s="22">
        <v>0.008</v>
      </c>
      <c r="K15" s="22">
        <v>0.008</v>
      </c>
      <c r="L15" s="22">
        <v>0.008</v>
      </c>
      <c r="M15" s="22">
        <v>0.008</v>
      </c>
      <c r="N15" s="22">
        <v>0.008</v>
      </c>
      <c r="O15" s="22">
        <v>0.011</v>
      </c>
      <c r="P15" s="22">
        <v>0.011</v>
      </c>
      <c r="Q15" s="22">
        <v>0.011</v>
      </c>
      <c r="R15" s="22">
        <v>0.013</v>
      </c>
      <c r="S15" s="22">
        <v>0.013</v>
      </c>
      <c r="T15" s="22">
        <v>0.013</v>
      </c>
      <c r="U15" s="22">
        <v>0.007</v>
      </c>
      <c r="V15" s="22">
        <v>0.007</v>
      </c>
      <c r="W15" s="22">
        <v>0.007</v>
      </c>
      <c r="X15" s="22">
        <v>0.026</v>
      </c>
      <c r="Y15" s="22">
        <v>0.026</v>
      </c>
      <c r="Z15" s="22">
        <v>0.026</v>
      </c>
      <c r="AA15" s="22">
        <v>0.05</v>
      </c>
      <c r="AB15" s="22">
        <v>0.05</v>
      </c>
      <c r="AC15" s="22">
        <v>0.05</v>
      </c>
    </row>
    <row r="16">
      <c r="A16" s="17"/>
      <c r="B16" s="21" t="s">
        <v>44</v>
      </c>
      <c r="C16" s="22">
        <v>0.472</v>
      </c>
      <c r="D16" s="22">
        <v>0.472</v>
      </c>
      <c r="E16" s="22">
        <v>0.472</v>
      </c>
      <c r="F16" s="22">
        <v>0.47</v>
      </c>
      <c r="G16" s="22">
        <v>0.47</v>
      </c>
      <c r="H16" s="22">
        <v>0.47</v>
      </c>
      <c r="I16" s="22">
        <v>0.449</v>
      </c>
      <c r="J16" s="22">
        <v>0.449</v>
      </c>
      <c r="K16" s="22">
        <v>0.449</v>
      </c>
      <c r="L16" s="22">
        <v>0.453</v>
      </c>
      <c r="M16" s="22">
        <v>0.453</v>
      </c>
      <c r="N16" s="22">
        <v>0.453</v>
      </c>
      <c r="O16" s="22">
        <v>0.495</v>
      </c>
      <c r="P16" s="22">
        <v>0.495</v>
      </c>
      <c r="Q16" s="22">
        <v>0.495</v>
      </c>
      <c r="R16" s="22">
        <v>0.474</v>
      </c>
      <c r="S16" s="22">
        <v>0.474</v>
      </c>
      <c r="T16" s="22">
        <v>0.474</v>
      </c>
      <c r="U16" s="22">
        <v>0.444</v>
      </c>
      <c r="V16" s="22">
        <v>0.444</v>
      </c>
      <c r="W16" s="22">
        <v>0.444</v>
      </c>
      <c r="X16" s="22">
        <v>0.419</v>
      </c>
      <c r="Y16" s="22">
        <v>0.419</v>
      </c>
      <c r="Z16" s="22">
        <v>0.419</v>
      </c>
      <c r="AA16" s="22">
        <v>0.383</v>
      </c>
      <c r="AB16" s="22">
        <v>0.383</v>
      </c>
      <c r="AC16" s="22">
        <v>0.383</v>
      </c>
    </row>
    <row r="17">
      <c r="A17" s="17"/>
      <c r="B17" s="21" t="s">
        <v>45</v>
      </c>
      <c r="C17" s="22">
        <v>0.063</v>
      </c>
      <c r="D17" s="22">
        <v>0.063</v>
      </c>
      <c r="E17" s="22">
        <v>0.063</v>
      </c>
      <c r="F17" s="22">
        <v>0.055</v>
      </c>
      <c r="G17" s="22">
        <v>0.055</v>
      </c>
      <c r="H17" s="22">
        <v>0.055</v>
      </c>
      <c r="I17" s="22">
        <v>0.061</v>
      </c>
      <c r="J17" s="22">
        <v>0.061</v>
      </c>
      <c r="K17" s="22">
        <v>0.061</v>
      </c>
      <c r="L17" s="22">
        <v>0.062</v>
      </c>
      <c r="M17" s="22">
        <v>0.062</v>
      </c>
      <c r="N17" s="22">
        <v>0.062</v>
      </c>
      <c r="O17" s="22">
        <v>0.061</v>
      </c>
      <c r="P17" s="22">
        <v>0.061</v>
      </c>
      <c r="Q17" s="22">
        <v>0.061</v>
      </c>
      <c r="R17" s="22">
        <v>0.078</v>
      </c>
      <c r="S17" s="22">
        <v>0.078</v>
      </c>
      <c r="T17" s="22">
        <v>0.078</v>
      </c>
      <c r="U17" s="22">
        <v>0.076</v>
      </c>
      <c r="V17" s="22">
        <v>0.076</v>
      </c>
      <c r="W17" s="22">
        <v>0.076</v>
      </c>
      <c r="X17" s="22">
        <v>0.043</v>
      </c>
      <c r="Y17" s="22">
        <v>0.043</v>
      </c>
      <c r="Z17" s="22">
        <v>0.043</v>
      </c>
      <c r="AA17" s="22">
        <v>0.04</v>
      </c>
      <c r="AB17" s="22">
        <v>0.04</v>
      </c>
      <c r="AC17" s="22">
        <v>0.04</v>
      </c>
    </row>
    <row r="18">
      <c r="A18" s="19"/>
      <c r="B18" s="21" t="s">
        <v>46</v>
      </c>
      <c r="C18" s="22">
        <v>0.46</v>
      </c>
      <c r="D18" s="22">
        <v>0.46</v>
      </c>
      <c r="E18" s="22">
        <v>0.46</v>
      </c>
      <c r="F18" s="22">
        <v>0.465</v>
      </c>
      <c r="G18" s="22">
        <v>0.465</v>
      </c>
      <c r="H18" s="22">
        <v>0.465</v>
      </c>
      <c r="I18" s="22">
        <v>0.482</v>
      </c>
      <c r="J18" s="22">
        <v>0.482</v>
      </c>
      <c r="K18" s="22">
        <v>0.482</v>
      </c>
      <c r="L18" s="22">
        <v>0.477</v>
      </c>
      <c r="M18" s="22">
        <v>0.477</v>
      </c>
      <c r="N18" s="22">
        <v>0.477</v>
      </c>
      <c r="O18" s="22">
        <v>0.433</v>
      </c>
      <c r="P18" s="22">
        <v>0.433</v>
      </c>
      <c r="Q18" s="22">
        <v>0.433</v>
      </c>
      <c r="R18" s="22">
        <v>0.435</v>
      </c>
      <c r="S18" s="22">
        <v>0.435</v>
      </c>
      <c r="T18" s="22">
        <v>0.435</v>
      </c>
      <c r="U18" s="22">
        <v>0.473</v>
      </c>
      <c r="V18" s="22">
        <v>0.473</v>
      </c>
      <c r="W18" s="22">
        <v>0.473</v>
      </c>
      <c r="X18" s="22">
        <v>0.512</v>
      </c>
      <c r="Y18" s="22">
        <v>0.512</v>
      </c>
      <c r="Z18" s="22">
        <v>0.512</v>
      </c>
      <c r="AA18" s="22">
        <v>0.528</v>
      </c>
      <c r="AB18" s="22">
        <v>0.528</v>
      </c>
      <c r="AC18" s="22">
        <v>0.528</v>
      </c>
    </row>
    <row r="19">
      <c r="A19" s="23" t="s">
        <v>47</v>
      </c>
      <c r="B19" s="24" t="s">
        <v>48</v>
      </c>
      <c r="C19" s="24">
        <v>19.1</v>
      </c>
      <c r="D19" s="24">
        <v>19.1</v>
      </c>
      <c r="E19" s="24">
        <v>19.1</v>
      </c>
      <c r="F19" s="24">
        <v>18.1</v>
      </c>
      <c r="G19" s="24">
        <v>18.1</v>
      </c>
      <c r="H19" s="24">
        <v>18.1</v>
      </c>
      <c r="I19" s="24">
        <v>17.9</v>
      </c>
      <c r="J19" s="24">
        <v>17.9</v>
      </c>
      <c r="K19" s="24">
        <v>17.9</v>
      </c>
      <c r="L19" s="24">
        <v>18.2</v>
      </c>
      <c r="M19" s="24">
        <v>18.2</v>
      </c>
      <c r="N19" s="24">
        <v>18.2</v>
      </c>
      <c r="O19" s="24">
        <v>20.0</v>
      </c>
      <c r="P19" s="24">
        <v>20.0</v>
      </c>
      <c r="Q19" s="24">
        <v>20.0</v>
      </c>
      <c r="R19" s="24">
        <v>21.2</v>
      </c>
      <c r="S19" s="24">
        <v>21.2</v>
      </c>
      <c r="T19" s="24">
        <v>21.2</v>
      </c>
      <c r="U19" s="24">
        <v>19.6</v>
      </c>
      <c r="V19" s="24">
        <v>19.6</v>
      </c>
      <c r="W19" s="24">
        <v>19.6</v>
      </c>
      <c r="X19" s="24">
        <v>14.4</v>
      </c>
      <c r="Y19" s="24">
        <v>14.4</v>
      </c>
      <c r="Z19" s="24">
        <v>14.4</v>
      </c>
      <c r="AA19" s="24">
        <v>12.5</v>
      </c>
      <c r="AB19" s="24">
        <v>12.5</v>
      </c>
      <c r="AC19" s="24">
        <v>12.5</v>
      </c>
    </row>
    <row r="20">
      <c r="A20" s="25"/>
      <c r="B20" s="24" t="s">
        <v>49</v>
      </c>
      <c r="C20" s="24">
        <v>17.8</v>
      </c>
      <c r="D20" s="24">
        <v>17.8</v>
      </c>
      <c r="E20" s="24">
        <v>17.8</v>
      </c>
      <c r="F20" s="24">
        <v>16.9</v>
      </c>
      <c r="G20" s="24">
        <v>16.9</v>
      </c>
      <c r="H20" s="24">
        <v>16.9</v>
      </c>
      <c r="I20" s="24">
        <v>16.5</v>
      </c>
      <c r="J20" s="24">
        <v>16.5</v>
      </c>
      <c r="K20" s="24">
        <v>16.5</v>
      </c>
      <c r="L20" s="24">
        <v>16.8</v>
      </c>
      <c r="M20" s="24">
        <v>16.8</v>
      </c>
      <c r="N20" s="24">
        <v>16.8</v>
      </c>
      <c r="O20" s="24">
        <v>18.7</v>
      </c>
      <c r="P20" s="24">
        <v>18.7</v>
      </c>
      <c r="Q20" s="24">
        <v>18.7</v>
      </c>
      <c r="R20" s="24">
        <v>19.5</v>
      </c>
      <c r="S20" s="24">
        <v>19.5</v>
      </c>
      <c r="T20" s="24">
        <v>19.5</v>
      </c>
      <c r="U20" s="24">
        <v>17.9</v>
      </c>
      <c r="V20" s="24">
        <v>17.9</v>
      </c>
      <c r="W20" s="24">
        <v>17.9</v>
      </c>
      <c r="X20" s="24">
        <v>13.4</v>
      </c>
      <c r="Y20" s="24">
        <v>13.4</v>
      </c>
      <c r="Z20" s="24">
        <v>13.4</v>
      </c>
      <c r="AA20" s="24">
        <v>11.7</v>
      </c>
      <c r="AB20" s="24">
        <v>11.7</v>
      </c>
      <c r="AC20" s="24">
        <v>11.7</v>
      </c>
    </row>
    <row r="21">
      <c r="A21" s="23" t="s">
        <v>50</v>
      </c>
      <c r="B21" s="21" t="s">
        <v>51</v>
      </c>
      <c r="C21" s="22">
        <v>0.052</v>
      </c>
      <c r="D21" s="22">
        <v>0.052</v>
      </c>
      <c r="E21" s="22">
        <v>0.052</v>
      </c>
      <c r="F21" s="22">
        <v>0.085</v>
      </c>
      <c r="G21" s="22">
        <v>0.085</v>
      </c>
      <c r="H21" s="22">
        <v>0.085</v>
      </c>
      <c r="I21" s="22">
        <v>0.094</v>
      </c>
      <c r="J21" s="22">
        <v>0.094</v>
      </c>
      <c r="K21" s="22">
        <v>0.094</v>
      </c>
      <c r="L21" s="22">
        <v>0.092</v>
      </c>
      <c r="M21" s="22">
        <v>0.092</v>
      </c>
      <c r="N21" s="22">
        <v>0.092</v>
      </c>
      <c r="O21" s="22">
        <v>0.098</v>
      </c>
      <c r="P21" s="22">
        <v>0.098</v>
      </c>
      <c r="Q21" s="22">
        <v>0.098</v>
      </c>
      <c r="R21" s="22">
        <v>0.072</v>
      </c>
      <c r="S21" s="22">
        <v>0.072</v>
      </c>
      <c r="T21" s="22">
        <v>0.072</v>
      </c>
      <c r="U21" s="22">
        <v>0.074</v>
      </c>
      <c r="V21" s="22">
        <v>0.074</v>
      </c>
      <c r="W21" s="22">
        <v>0.074</v>
      </c>
      <c r="X21" s="22">
        <v>0.266</v>
      </c>
      <c r="Y21" s="22">
        <v>0.266</v>
      </c>
      <c r="Z21" s="22">
        <v>0.266</v>
      </c>
      <c r="AA21" s="22">
        <v>0.327</v>
      </c>
      <c r="AB21" s="22">
        <v>0.327</v>
      </c>
      <c r="AC21" s="22">
        <v>0.327</v>
      </c>
    </row>
    <row r="22">
      <c r="A22" s="26"/>
      <c r="B22" s="21" t="s">
        <v>52</v>
      </c>
      <c r="C22" s="22">
        <v>0.716</v>
      </c>
      <c r="D22" s="22">
        <v>0.716</v>
      </c>
      <c r="E22" s="22">
        <v>0.716</v>
      </c>
      <c r="F22" s="22">
        <v>0.714</v>
      </c>
      <c r="G22" s="22">
        <v>0.714</v>
      </c>
      <c r="H22" s="22">
        <v>0.714</v>
      </c>
      <c r="I22" s="22">
        <v>0.604</v>
      </c>
      <c r="J22" s="22">
        <v>0.604</v>
      </c>
      <c r="K22" s="22">
        <v>0.604</v>
      </c>
      <c r="L22" s="22">
        <v>0.602</v>
      </c>
      <c r="M22" s="22">
        <v>0.602</v>
      </c>
      <c r="N22" s="22">
        <v>0.602</v>
      </c>
      <c r="O22" s="22">
        <v>0.723</v>
      </c>
      <c r="P22" s="22">
        <v>0.723</v>
      </c>
      <c r="Q22" s="22">
        <v>0.723</v>
      </c>
      <c r="R22" s="22">
        <v>0.731</v>
      </c>
      <c r="S22" s="22">
        <v>0.731</v>
      </c>
      <c r="T22" s="22">
        <v>0.731</v>
      </c>
      <c r="U22" s="22">
        <v>0.727</v>
      </c>
      <c r="V22" s="22">
        <v>0.727</v>
      </c>
      <c r="W22" s="22">
        <v>0.727</v>
      </c>
      <c r="X22" s="22">
        <v>0.477</v>
      </c>
      <c r="Y22" s="22">
        <v>0.477</v>
      </c>
      <c r="Z22" s="22">
        <v>0.477</v>
      </c>
      <c r="AA22" s="22">
        <v>0.459</v>
      </c>
      <c r="AB22" s="22">
        <v>0.459</v>
      </c>
      <c r="AC22" s="22">
        <v>0.459</v>
      </c>
    </row>
    <row r="23">
      <c r="A23" s="26"/>
      <c r="B23" s="21" t="s">
        <v>53</v>
      </c>
      <c r="C23" s="22">
        <v>0.228</v>
      </c>
      <c r="D23" s="22">
        <v>0.228</v>
      </c>
      <c r="E23" s="22">
        <v>0.228</v>
      </c>
      <c r="F23" s="22">
        <v>0.158</v>
      </c>
      <c r="G23" s="22">
        <v>0.158</v>
      </c>
      <c r="H23" s="22">
        <v>0.158</v>
      </c>
      <c r="I23" s="22">
        <v>0.248</v>
      </c>
      <c r="J23" s="22">
        <v>0.248</v>
      </c>
      <c r="K23" s="22">
        <v>0.248</v>
      </c>
      <c r="L23" s="22">
        <v>0.245</v>
      </c>
      <c r="M23" s="22">
        <v>0.245</v>
      </c>
      <c r="N23" s="22">
        <v>0.245</v>
      </c>
      <c r="O23" s="22">
        <v>0.161</v>
      </c>
      <c r="P23" s="22">
        <v>0.161</v>
      </c>
      <c r="Q23" s="22">
        <v>0.161</v>
      </c>
      <c r="R23" s="22">
        <v>0.161</v>
      </c>
      <c r="S23" s="22">
        <v>0.161</v>
      </c>
      <c r="T23" s="22">
        <v>0.161</v>
      </c>
      <c r="U23" s="22">
        <v>0.16</v>
      </c>
      <c r="V23" s="22">
        <v>0.16</v>
      </c>
      <c r="W23" s="22">
        <v>0.16</v>
      </c>
      <c r="X23" s="22">
        <v>0.163</v>
      </c>
      <c r="Y23" s="22">
        <v>0.163</v>
      </c>
      <c r="Z23" s="22">
        <v>0.163</v>
      </c>
      <c r="AA23" s="22">
        <v>0.101</v>
      </c>
      <c r="AB23" s="22">
        <v>0.101</v>
      </c>
      <c r="AC23" s="22">
        <v>0.101</v>
      </c>
    </row>
    <row r="24">
      <c r="A24" s="25"/>
      <c r="B24" s="27" t="s">
        <v>54</v>
      </c>
      <c r="C24" s="22">
        <v>0.004</v>
      </c>
      <c r="D24" s="22">
        <v>0.004</v>
      </c>
      <c r="E24" s="22">
        <v>0.004</v>
      </c>
      <c r="F24" s="28">
        <v>0.043</v>
      </c>
      <c r="G24" s="28">
        <v>0.043</v>
      </c>
      <c r="H24" s="28">
        <v>0.043</v>
      </c>
      <c r="I24" s="28">
        <v>0.054</v>
      </c>
      <c r="J24" s="28">
        <v>0.054</v>
      </c>
      <c r="K24" s="28">
        <v>0.054</v>
      </c>
      <c r="L24" s="28">
        <v>0.061</v>
      </c>
      <c r="M24" s="28">
        <v>0.061</v>
      </c>
      <c r="N24" s="28">
        <v>0.061</v>
      </c>
      <c r="O24" s="28">
        <v>0.018</v>
      </c>
      <c r="P24" s="28">
        <v>0.018</v>
      </c>
      <c r="Q24" s="28">
        <v>0.018</v>
      </c>
      <c r="R24" s="28">
        <v>0.037</v>
      </c>
      <c r="S24" s="28">
        <v>0.037</v>
      </c>
      <c r="T24" s="28">
        <v>0.037</v>
      </c>
      <c r="U24" s="28">
        <v>0.039</v>
      </c>
      <c r="V24" s="28">
        <v>0.039</v>
      </c>
      <c r="W24" s="28">
        <v>0.039</v>
      </c>
      <c r="X24" s="28">
        <v>0.096</v>
      </c>
      <c r="Y24" s="28">
        <v>0.096</v>
      </c>
      <c r="Z24" s="28">
        <v>0.096</v>
      </c>
      <c r="AA24" s="28">
        <v>0.114</v>
      </c>
      <c r="AB24" s="28">
        <v>0.114</v>
      </c>
      <c r="AC24" s="28">
        <v>0.114</v>
      </c>
    </row>
    <row r="25">
      <c r="A25" s="29" t="s">
        <v>55</v>
      </c>
      <c r="B25" s="24" t="s">
        <v>56</v>
      </c>
      <c r="C25" s="24">
        <v>283.0</v>
      </c>
      <c r="D25" s="24">
        <v>293.4</v>
      </c>
      <c r="E25" s="24">
        <v>297.3</v>
      </c>
      <c r="F25" s="24">
        <v>251.0</v>
      </c>
      <c r="G25" s="24">
        <v>257.3</v>
      </c>
      <c r="H25" s="24">
        <v>256.0</v>
      </c>
      <c r="I25" s="24">
        <v>251.9</v>
      </c>
      <c r="J25" s="24">
        <v>256.9</v>
      </c>
      <c r="K25" s="24">
        <v>254.6</v>
      </c>
      <c r="L25" s="24">
        <v>251.0</v>
      </c>
      <c r="M25" s="24">
        <v>273.8</v>
      </c>
      <c r="N25" s="24">
        <v>263.7</v>
      </c>
      <c r="O25" s="24">
        <v>249.2</v>
      </c>
      <c r="P25" s="24">
        <v>256.1</v>
      </c>
      <c r="Q25" s="24">
        <v>252.3</v>
      </c>
      <c r="R25" s="24">
        <v>257.6</v>
      </c>
      <c r="S25" s="24">
        <v>253.3</v>
      </c>
      <c r="T25" s="24">
        <v>274.3</v>
      </c>
      <c r="U25" s="24">
        <v>247.6</v>
      </c>
      <c r="V25" s="24">
        <v>256.2</v>
      </c>
      <c r="W25" s="24">
        <v>258.1</v>
      </c>
      <c r="X25" s="24">
        <v>292.4</v>
      </c>
      <c r="Y25" s="24">
        <v>247.3</v>
      </c>
      <c r="Z25" s="24">
        <v>243.9</v>
      </c>
      <c r="AA25" s="24">
        <v>227.8</v>
      </c>
      <c r="AB25" s="24">
        <v>233.4</v>
      </c>
      <c r="AC25" s="24">
        <v>231.5</v>
      </c>
    </row>
    <row r="26">
      <c r="B26" s="24" t="s">
        <v>57</v>
      </c>
      <c r="C26" s="24">
        <v>415.7</v>
      </c>
      <c r="D26" s="24">
        <v>409.6</v>
      </c>
      <c r="E26" s="24">
        <v>418.4</v>
      </c>
      <c r="F26" s="24">
        <v>399.3</v>
      </c>
      <c r="G26" s="24">
        <v>400.4</v>
      </c>
      <c r="H26" s="24">
        <v>408.8</v>
      </c>
      <c r="I26" s="24">
        <v>424.6</v>
      </c>
      <c r="J26" s="24">
        <v>421.3</v>
      </c>
      <c r="K26" s="24">
        <v>420.7</v>
      </c>
      <c r="L26" s="24">
        <v>424.8</v>
      </c>
      <c r="M26" s="24">
        <v>415.0</v>
      </c>
      <c r="N26" s="24">
        <v>435.7</v>
      </c>
      <c r="O26" s="24">
        <v>429.8</v>
      </c>
      <c r="P26" s="24">
        <v>425.8</v>
      </c>
      <c r="Q26" s="24">
        <v>442.4</v>
      </c>
      <c r="R26" s="24">
        <v>436.1</v>
      </c>
      <c r="S26" s="24">
        <v>432.8</v>
      </c>
      <c r="T26" s="24">
        <v>442.3</v>
      </c>
      <c r="U26" s="24">
        <v>418.8</v>
      </c>
      <c r="V26" s="24">
        <v>443.9</v>
      </c>
      <c r="W26" s="24">
        <v>422.3</v>
      </c>
      <c r="X26" s="24">
        <v>395.0</v>
      </c>
      <c r="Y26" s="24">
        <v>396.6</v>
      </c>
      <c r="Z26" s="24">
        <v>393.3</v>
      </c>
      <c r="AA26" s="24">
        <v>431.5</v>
      </c>
      <c r="AB26" s="24">
        <v>439.7</v>
      </c>
      <c r="AC26" s="24">
        <v>387.6</v>
      </c>
    </row>
    <row r="27">
      <c r="B27" s="24" t="s">
        <v>58</v>
      </c>
      <c r="C27" s="24">
        <v>331.0</v>
      </c>
      <c r="D27" s="24">
        <v>352.0</v>
      </c>
      <c r="E27" s="24">
        <v>353.2</v>
      </c>
      <c r="F27" s="24">
        <v>284.3</v>
      </c>
      <c r="G27" s="24">
        <v>289.0</v>
      </c>
      <c r="H27" s="24">
        <v>290.0</v>
      </c>
      <c r="I27" s="24">
        <v>283.7</v>
      </c>
      <c r="J27" s="24">
        <v>294.6</v>
      </c>
      <c r="K27" s="24">
        <v>292.3</v>
      </c>
      <c r="L27" s="24">
        <v>282.9</v>
      </c>
      <c r="M27" s="24">
        <v>324.8</v>
      </c>
      <c r="N27" s="24">
        <v>332.4</v>
      </c>
      <c r="O27" s="24">
        <v>294.5</v>
      </c>
      <c r="P27" s="24">
        <v>303.8</v>
      </c>
      <c r="Q27" s="24">
        <v>292.5</v>
      </c>
      <c r="R27" s="24">
        <v>302.7</v>
      </c>
      <c r="S27" s="24">
        <v>300.1</v>
      </c>
      <c r="T27" s="24">
        <v>322.9</v>
      </c>
      <c r="U27" s="24">
        <v>279.4</v>
      </c>
      <c r="V27" s="24">
        <v>290.1</v>
      </c>
      <c r="W27" s="24">
        <v>294.1</v>
      </c>
      <c r="X27" s="24">
        <v>268.0</v>
      </c>
      <c r="Y27" s="24">
        <v>275.1</v>
      </c>
      <c r="Z27" s="24">
        <v>276.8</v>
      </c>
      <c r="AA27" s="24">
        <v>270.5</v>
      </c>
      <c r="AB27" s="24">
        <v>270.3</v>
      </c>
      <c r="AC27" s="24">
        <v>273.3</v>
      </c>
    </row>
    <row r="28">
      <c r="B28" s="24" t="s">
        <v>59</v>
      </c>
      <c r="C28" s="24">
        <v>66.3</v>
      </c>
      <c r="D28" s="24">
        <v>78.1</v>
      </c>
      <c r="E28" s="24">
        <v>79.4</v>
      </c>
      <c r="F28" s="24">
        <v>72.3</v>
      </c>
      <c r="G28" s="24">
        <v>77.0</v>
      </c>
      <c r="H28" s="24">
        <v>79.8</v>
      </c>
      <c r="I28" s="24">
        <v>93.4</v>
      </c>
      <c r="J28" s="24">
        <v>94.9</v>
      </c>
      <c r="K28" s="24">
        <v>95.1</v>
      </c>
      <c r="L28" s="24">
        <v>89.2</v>
      </c>
      <c r="M28" s="24">
        <v>79.3</v>
      </c>
      <c r="N28" s="24">
        <v>95.4</v>
      </c>
      <c r="O28" s="24">
        <v>91.1</v>
      </c>
      <c r="P28" s="24">
        <v>89.2</v>
      </c>
      <c r="Q28" s="24">
        <v>93.1</v>
      </c>
      <c r="R28" s="24">
        <v>88.2</v>
      </c>
      <c r="S28" s="24">
        <v>90.2</v>
      </c>
      <c r="T28" s="24">
        <v>85.1</v>
      </c>
      <c r="U28" s="24">
        <v>91.5</v>
      </c>
      <c r="V28" s="24">
        <v>97.0</v>
      </c>
      <c r="W28" s="24">
        <v>92.5</v>
      </c>
      <c r="X28" s="24">
        <v>75.4</v>
      </c>
      <c r="Y28" s="24">
        <v>73.5</v>
      </c>
      <c r="Z28" s="24">
        <v>72.6</v>
      </c>
      <c r="AA28" s="24">
        <v>88.4</v>
      </c>
      <c r="AB28" s="24">
        <v>81.7</v>
      </c>
      <c r="AC28" s="24">
        <v>71.9</v>
      </c>
    </row>
    <row r="29">
      <c r="B29" s="30" t="s">
        <v>60</v>
      </c>
      <c r="C29" s="24">
        <v>8.0</v>
      </c>
      <c r="D29" s="24">
        <v>13.6</v>
      </c>
      <c r="E29" s="24">
        <v>22.4</v>
      </c>
      <c r="F29" s="24">
        <v>5.9</v>
      </c>
      <c r="G29" s="24">
        <v>10.4</v>
      </c>
      <c r="H29" s="24">
        <v>15.1</v>
      </c>
      <c r="I29" s="24">
        <v>4.8</v>
      </c>
      <c r="J29" s="24">
        <v>9.8</v>
      </c>
      <c r="K29" s="24">
        <v>15.3</v>
      </c>
      <c r="L29" s="24">
        <v>5.4</v>
      </c>
      <c r="M29" s="24">
        <v>12.3</v>
      </c>
      <c r="N29" s="24">
        <v>14.6</v>
      </c>
      <c r="O29" s="24">
        <v>4.7</v>
      </c>
      <c r="P29" s="24">
        <v>9.9</v>
      </c>
      <c r="Q29" s="24">
        <v>12.8</v>
      </c>
      <c r="R29" s="24">
        <v>4.9</v>
      </c>
      <c r="S29" s="24">
        <v>9.8</v>
      </c>
      <c r="T29" s="24">
        <v>14.3</v>
      </c>
      <c r="U29" s="24">
        <v>5.3</v>
      </c>
      <c r="V29" s="24">
        <v>9.4</v>
      </c>
      <c r="W29" s="24">
        <v>15.1</v>
      </c>
      <c r="X29" s="24">
        <v>4.8</v>
      </c>
      <c r="Y29" s="24">
        <v>10.5</v>
      </c>
      <c r="Z29" s="24">
        <v>15.3</v>
      </c>
      <c r="AA29" s="24">
        <v>3.3</v>
      </c>
      <c r="AB29" s="24">
        <v>6.6</v>
      </c>
      <c r="AC29" s="24">
        <v>16.0</v>
      </c>
    </row>
    <row r="30">
      <c r="B30" s="30" t="s">
        <v>61</v>
      </c>
      <c r="C30" s="24">
        <v>1.2</v>
      </c>
      <c r="D30" s="24">
        <v>1.6</v>
      </c>
      <c r="E30" s="24">
        <v>2.5</v>
      </c>
      <c r="F30" s="24">
        <v>1.0</v>
      </c>
      <c r="G30" s="24">
        <v>1.6</v>
      </c>
      <c r="H30" s="24">
        <v>2.4</v>
      </c>
      <c r="I30" s="24">
        <v>1.0</v>
      </c>
      <c r="J30" s="24">
        <v>1.9</v>
      </c>
      <c r="K30" s="24">
        <v>2.9</v>
      </c>
      <c r="L30" s="24">
        <v>1.1</v>
      </c>
      <c r="M30" s="24">
        <v>1.9</v>
      </c>
      <c r="N30" s="24">
        <v>2.8</v>
      </c>
      <c r="O30" s="24">
        <v>1.0</v>
      </c>
      <c r="P30" s="24">
        <v>2.1</v>
      </c>
      <c r="Q30" s="24">
        <v>2.7</v>
      </c>
      <c r="R30" s="24">
        <v>1.0</v>
      </c>
      <c r="S30" s="24">
        <v>2.0</v>
      </c>
      <c r="T30" s="24">
        <v>2.5</v>
      </c>
      <c r="U30" s="24">
        <v>1.0</v>
      </c>
      <c r="V30" s="24">
        <v>2.3</v>
      </c>
      <c r="W30" s="24">
        <v>2.5</v>
      </c>
      <c r="X30" s="24">
        <v>0.9</v>
      </c>
      <c r="Y30" s="24">
        <v>1.7</v>
      </c>
      <c r="Z30" s="24">
        <v>2.6</v>
      </c>
      <c r="AA30" s="24">
        <v>0.9</v>
      </c>
      <c r="AB30" s="24">
        <v>1.5</v>
      </c>
      <c r="AC30" s="24">
        <v>2.6</v>
      </c>
    </row>
    <row r="31">
      <c r="B31" s="24" t="s">
        <v>62</v>
      </c>
      <c r="C31" s="24">
        <v>26.9</v>
      </c>
      <c r="D31" s="24">
        <v>14.4</v>
      </c>
      <c r="E31" s="24">
        <v>10.1</v>
      </c>
      <c r="F31" s="24">
        <v>23.7</v>
      </c>
      <c r="G31" s="24">
        <v>12.7</v>
      </c>
      <c r="H31" s="24">
        <v>8.8</v>
      </c>
      <c r="I31" s="24">
        <v>23.8</v>
      </c>
      <c r="J31" s="24">
        <v>12.6</v>
      </c>
      <c r="K31" s="24">
        <v>8.7</v>
      </c>
      <c r="L31" s="24">
        <v>23.7</v>
      </c>
      <c r="M31" s="24">
        <v>13.5</v>
      </c>
      <c r="N31" s="24">
        <v>9.0</v>
      </c>
      <c r="O31" s="24">
        <v>23.5</v>
      </c>
      <c r="P31" s="24">
        <v>12.6</v>
      </c>
      <c r="Q31" s="24">
        <v>8.6</v>
      </c>
      <c r="R31" s="24">
        <v>24.4</v>
      </c>
      <c r="S31" s="24">
        <v>12.5</v>
      </c>
      <c r="T31" s="24">
        <v>9.4</v>
      </c>
      <c r="U31" s="24">
        <v>23.4</v>
      </c>
      <c r="V31" s="24">
        <v>12.7</v>
      </c>
      <c r="W31" s="24">
        <v>8.8</v>
      </c>
      <c r="X31" s="24">
        <v>22.3</v>
      </c>
      <c r="Y31" s="24">
        <v>12.2</v>
      </c>
      <c r="Z31" s="24">
        <v>8.4</v>
      </c>
      <c r="AA31" s="24">
        <v>21.4</v>
      </c>
      <c r="AB31" s="24">
        <v>11.5</v>
      </c>
      <c r="AC31" s="24">
        <v>8.0</v>
      </c>
    </row>
    <row r="32">
      <c r="B32" s="24" t="s">
        <v>63</v>
      </c>
      <c r="C32" s="24">
        <v>31.8</v>
      </c>
      <c r="D32" s="24">
        <v>17.4</v>
      </c>
      <c r="E32" s="24">
        <v>12.0</v>
      </c>
      <c r="F32" s="24">
        <v>27.1</v>
      </c>
      <c r="G32" s="24">
        <v>14.2</v>
      </c>
      <c r="H32" s="24">
        <v>9.9</v>
      </c>
      <c r="I32" s="24">
        <v>27.0</v>
      </c>
      <c r="J32" s="24">
        <v>14.7</v>
      </c>
      <c r="K32" s="24">
        <v>10.0</v>
      </c>
      <c r="L32" s="24">
        <v>26.9</v>
      </c>
      <c r="M32" s="24">
        <v>16.0</v>
      </c>
      <c r="N32" s="24">
        <v>11.3</v>
      </c>
      <c r="O32" s="24">
        <v>28.1</v>
      </c>
      <c r="P32" s="24">
        <v>15.0</v>
      </c>
      <c r="Q32" s="24">
        <v>10.0</v>
      </c>
      <c r="R32" s="24">
        <v>28.9</v>
      </c>
      <c r="S32" s="24">
        <v>14.8</v>
      </c>
      <c r="T32" s="24">
        <v>11.0</v>
      </c>
      <c r="U32" s="24">
        <v>26.6</v>
      </c>
      <c r="V32" s="24">
        <v>14.7</v>
      </c>
      <c r="W32" s="24">
        <v>10.0</v>
      </c>
      <c r="X32" s="24">
        <v>25.4</v>
      </c>
      <c r="Y32" s="24">
        <v>13.6</v>
      </c>
      <c r="Z32" s="24">
        <v>9.4</v>
      </c>
      <c r="AA32" s="24">
        <v>25.7</v>
      </c>
      <c r="AB32" s="24">
        <v>13.3</v>
      </c>
      <c r="AC32" s="24">
        <v>9.3</v>
      </c>
    </row>
    <row r="33">
      <c r="B33" s="31" t="s">
        <v>64</v>
      </c>
      <c r="C33" s="24">
        <v>6.7</v>
      </c>
      <c r="D33" s="24">
        <v>4.0</v>
      </c>
      <c r="E33" s="24">
        <v>2.7</v>
      </c>
      <c r="F33" s="24">
        <v>7.3</v>
      </c>
      <c r="G33" s="24">
        <v>3.8</v>
      </c>
      <c r="H33" s="24">
        <v>2.6</v>
      </c>
      <c r="I33" s="24">
        <v>9.4</v>
      </c>
      <c r="J33" s="24">
        <v>4.7</v>
      </c>
      <c r="K33" s="24">
        <v>3.1</v>
      </c>
      <c r="L33" s="24">
        <v>9.0</v>
      </c>
      <c r="M33" s="24">
        <v>4.0</v>
      </c>
      <c r="N33" s="24">
        <v>3.1</v>
      </c>
      <c r="O33" s="24">
        <v>9.2</v>
      </c>
      <c r="P33" s="24">
        <v>4.5</v>
      </c>
      <c r="Q33" s="24">
        <v>3.1</v>
      </c>
      <c r="R33" s="24">
        <v>8.9</v>
      </c>
      <c r="S33" s="24">
        <v>4.5</v>
      </c>
      <c r="T33" s="24">
        <v>2.8</v>
      </c>
      <c r="U33" s="24">
        <v>9.2</v>
      </c>
      <c r="V33" s="24">
        <v>4.8</v>
      </c>
      <c r="W33" s="24">
        <v>3.0</v>
      </c>
      <c r="X33" s="24">
        <v>7.6</v>
      </c>
      <c r="Y33" s="24">
        <v>3.7</v>
      </c>
      <c r="Z33" s="24">
        <v>2.3</v>
      </c>
      <c r="AA33" s="24">
        <v>9.2</v>
      </c>
      <c r="AB33" s="24">
        <v>4.1</v>
      </c>
      <c r="AC33" s="24">
        <v>2.4</v>
      </c>
    </row>
    <row r="34">
      <c r="B34" s="32" t="s">
        <v>65</v>
      </c>
      <c r="C34" s="33">
        <v>40.3</v>
      </c>
      <c r="D34" s="24">
        <v>20.3</v>
      </c>
      <c r="E34" s="24">
        <v>14.2</v>
      </c>
      <c r="F34" s="33">
        <v>38.6</v>
      </c>
      <c r="G34" s="33">
        <v>19.9</v>
      </c>
      <c r="H34" s="33">
        <v>13.9</v>
      </c>
      <c r="I34" s="33">
        <v>41.2</v>
      </c>
      <c r="J34" s="33">
        <v>20.9</v>
      </c>
      <c r="K34" s="33">
        <v>14.2</v>
      </c>
      <c r="L34" s="33">
        <v>41.2</v>
      </c>
      <c r="M34" s="33">
        <v>20.6</v>
      </c>
      <c r="N34" s="33">
        <v>14.7</v>
      </c>
      <c r="O34" s="33">
        <v>41.7</v>
      </c>
      <c r="P34" s="33">
        <v>21.1</v>
      </c>
      <c r="Q34" s="33">
        <v>15.0</v>
      </c>
      <c r="R34" s="33">
        <v>42.3</v>
      </c>
      <c r="S34" s="33">
        <v>21.5</v>
      </c>
      <c r="T34" s="33">
        <v>15.0</v>
      </c>
      <c r="U34" s="33">
        <v>40.6</v>
      </c>
      <c r="V34" s="33">
        <v>22.0</v>
      </c>
      <c r="W34" s="33">
        <v>14.3</v>
      </c>
      <c r="X34" s="24">
        <v>38.2</v>
      </c>
      <c r="Y34" s="24">
        <v>19.6</v>
      </c>
      <c r="Z34" s="33">
        <v>13.3</v>
      </c>
      <c r="AA34" s="33">
        <v>41.9</v>
      </c>
      <c r="AB34" s="33">
        <v>21.8</v>
      </c>
      <c r="AC34" s="33">
        <v>13.1</v>
      </c>
    </row>
    <row r="35">
      <c r="B35" s="30" t="s">
        <v>66</v>
      </c>
      <c r="C35" s="24">
        <v>9.4</v>
      </c>
      <c r="D35" s="24">
        <v>54.3</v>
      </c>
      <c r="E35" s="24">
        <v>184.8</v>
      </c>
      <c r="F35" s="24">
        <v>9.2</v>
      </c>
      <c r="G35" s="24">
        <v>57.8</v>
      </c>
      <c r="H35" s="24">
        <v>174.3</v>
      </c>
      <c r="I35" s="24">
        <v>7.5</v>
      </c>
      <c r="J35" s="24">
        <v>52.7</v>
      </c>
      <c r="K35" s="24">
        <v>175.9</v>
      </c>
      <c r="L35" s="24">
        <v>8.4</v>
      </c>
      <c r="M35" s="24">
        <v>57.0</v>
      </c>
      <c r="N35" s="24">
        <v>143.8</v>
      </c>
      <c r="O35" s="24">
        <v>7.2</v>
      </c>
      <c r="P35" s="24">
        <v>52.3</v>
      </c>
      <c r="Q35" s="24">
        <v>149.1</v>
      </c>
      <c r="R35" s="24">
        <v>7.0</v>
      </c>
      <c r="S35" s="24">
        <v>53.5</v>
      </c>
      <c r="T35" s="24">
        <v>139.7</v>
      </c>
      <c r="U35" s="24">
        <v>8.5</v>
      </c>
      <c r="V35" s="24">
        <v>50.5</v>
      </c>
      <c r="W35" s="24">
        <v>171.1</v>
      </c>
      <c r="X35" s="24">
        <v>8.4</v>
      </c>
      <c r="Y35" s="24">
        <v>63.4</v>
      </c>
      <c r="Z35" s="24">
        <v>193.5</v>
      </c>
      <c r="AA35" s="24">
        <v>6.1</v>
      </c>
      <c r="AB35" s="24">
        <v>43.4</v>
      </c>
      <c r="AC35" s="24">
        <v>215.3</v>
      </c>
    </row>
    <row r="36">
      <c r="B36" s="30" t="s">
        <v>67</v>
      </c>
      <c r="C36" s="24">
        <v>9.4</v>
      </c>
      <c r="D36" s="24">
        <v>97.2</v>
      </c>
      <c r="E36" s="24">
        <v>498.5</v>
      </c>
      <c r="F36" s="24">
        <v>7.8</v>
      </c>
      <c r="G36" s="24">
        <v>96.1</v>
      </c>
      <c r="H36" s="24">
        <v>421.7</v>
      </c>
      <c r="I36" s="24">
        <v>4.6</v>
      </c>
      <c r="J36" s="24">
        <v>68.0</v>
      </c>
      <c r="K36" s="24">
        <v>346.1</v>
      </c>
      <c r="L36" s="24">
        <v>5.4</v>
      </c>
      <c r="M36" s="24">
        <v>94.6</v>
      </c>
      <c r="N36" s="24">
        <v>280.8</v>
      </c>
      <c r="O36" s="24">
        <v>4.4</v>
      </c>
      <c r="P36" s="24">
        <v>70.4</v>
      </c>
      <c r="Q36" s="24">
        <v>281.7</v>
      </c>
      <c r="R36" s="24">
        <v>4.5</v>
      </c>
      <c r="S36" s="24">
        <v>69.0</v>
      </c>
      <c r="T36" s="24">
        <v>312.6</v>
      </c>
      <c r="U36" s="24">
        <v>5.3</v>
      </c>
      <c r="V36" s="24">
        <v>62.5</v>
      </c>
      <c r="W36" s="24">
        <v>281.7</v>
      </c>
      <c r="X36" s="24">
        <v>6.6</v>
      </c>
      <c r="Y36" s="24">
        <v>87.3</v>
      </c>
      <c r="Z36" s="24">
        <v>562.1</v>
      </c>
      <c r="AA36" s="24">
        <v>3.4</v>
      </c>
      <c r="AB36" s="24">
        <v>56.7</v>
      </c>
      <c r="AC36" s="24">
        <v>559.6</v>
      </c>
    </row>
    <row r="37">
      <c r="B37" s="30" t="s">
        <v>68</v>
      </c>
      <c r="C37" s="24">
        <v>27.9</v>
      </c>
      <c r="D37" s="24">
        <v>60.5</v>
      </c>
      <c r="E37" s="24">
        <v>150.9</v>
      </c>
      <c r="F37" s="24">
        <v>24.0</v>
      </c>
      <c r="G37" s="24">
        <v>62.9</v>
      </c>
      <c r="H37" s="24">
        <v>137.8</v>
      </c>
      <c r="I37" s="24">
        <v>17.0</v>
      </c>
      <c r="J37" s="24">
        <v>69.0</v>
      </c>
      <c r="K37" s="24">
        <v>161.6</v>
      </c>
      <c r="L37" s="24">
        <v>22.2</v>
      </c>
      <c r="M37" s="24">
        <v>77.1</v>
      </c>
      <c r="N37" s="24">
        <v>136.2</v>
      </c>
      <c r="O37" s="24">
        <v>17.8</v>
      </c>
      <c r="P37" s="24">
        <v>72.9</v>
      </c>
      <c r="Q37" s="24">
        <v>121.5</v>
      </c>
      <c r="R37" s="24">
        <v>17.1</v>
      </c>
      <c r="S37" s="24">
        <v>72.6</v>
      </c>
      <c r="T37" s="24">
        <v>106.2</v>
      </c>
      <c r="U37" s="24">
        <v>21.2</v>
      </c>
      <c r="V37" s="24">
        <v>74.6</v>
      </c>
      <c r="W37" s="24">
        <v>135.9</v>
      </c>
      <c r="X37" s="24">
        <v>19.8</v>
      </c>
      <c r="Y37" s="24">
        <v>59.2</v>
      </c>
      <c r="Z37" s="24">
        <v>172.9</v>
      </c>
      <c r="AA37" s="24">
        <v>13.7</v>
      </c>
      <c r="AB37" s="24">
        <v>44.2</v>
      </c>
      <c r="AC37" s="24">
        <v>203.1</v>
      </c>
    </row>
    <row r="38">
      <c r="B38" s="30" t="s">
        <v>69</v>
      </c>
      <c r="C38" s="24">
        <v>7.0</v>
      </c>
      <c r="D38" s="24">
        <v>6.1</v>
      </c>
      <c r="E38" s="24">
        <v>4.5</v>
      </c>
      <c r="F38" s="24">
        <v>7.1</v>
      </c>
      <c r="G38" s="24">
        <v>5.8</v>
      </c>
      <c r="H38" s="24">
        <v>4.8</v>
      </c>
      <c r="I38" s="24">
        <v>8.4</v>
      </c>
      <c r="J38" s="24">
        <v>6.7</v>
      </c>
      <c r="K38" s="24">
        <v>5.4</v>
      </c>
      <c r="L38" s="24">
        <v>7.9</v>
      </c>
      <c r="M38" s="24">
        <v>6.0</v>
      </c>
      <c r="N38" s="24">
        <v>6.2</v>
      </c>
      <c r="O38" s="24">
        <v>8.7</v>
      </c>
      <c r="P38" s="24">
        <v>6.7</v>
      </c>
      <c r="Q38" s="24">
        <v>5.8</v>
      </c>
      <c r="R38" s="24">
        <v>8.7</v>
      </c>
      <c r="S38" s="24">
        <v>6.6</v>
      </c>
      <c r="T38" s="24">
        <v>5.8</v>
      </c>
      <c r="U38" s="24">
        <v>8.0</v>
      </c>
      <c r="V38" s="24">
        <v>6.8</v>
      </c>
      <c r="W38" s="24">
        <v>5.3</v>
      </c>
      <c r="X38" s="24">
        <v>7.4</v>
      </c>
      <c r="Y38" s="24">
        <v>5.8</v>
      </c>
      <c r="Z38" s="24">
        <v>4.3</v>
      </c>
      <c r="AA38" s="24">
        <v>8.9</v>
      </c>
      <c r="AB38" s="24">
        <v>6.9</v>
      </c>
      <c r="AC38" s="24">
        <v>4.1</v>
      </c>
    </row>
    <row r="39">
      <c r="B39" s="30" t="s">
        <v>70</v>
      </c>
      <c r="C39" s="24">
        <v>21.4</v>
      </c>
      <c r="D39" s="24">
        <v>40.0</v>
      </c>
      <c r="E39" s="24">
        <v>62.2</v>
      </c>
      <c r="F39" s="24">
        <v>15.9</v>
      </c>
      <c r="G39" s="24">
        <v>28.3</v>
      </c>
      <c r="H39" s="24">
        <v>38.5</v>
      </c>
      <c r="I39" s="24">
        <v>11.0</v>
      </c>
      <c r="J39" s="24">
        <v>23.2</v>
      </c>
      <c r="K39" s="24">
        <v>36.3</v>
      </c>
      <c r="L39" s="24">
        <v>12.3</v>
      </c>
      <c r="M39" s="24">
        <v>31.9</v>
      </c>
      <c r="N39" s="24">
        <v>32.3</v>
      </c>
      <c r="O39" s="24">
        <v>10.6</v>
      </c>
      <c r="P39" s="24">
        <v>22.7</v>
      </c>
      <c r="Q39" s="24">
        <v>26.8</v>
      </c>
      <c r="R39" s="24">
        <v>10.7</v>
      </c>
      <c r="S39" s="24">
        <v>21.7</v>
      </c>
      <c r="T39" s="24">
        <v>31.1</v>
      </c>
      <c r="U39" s="24">
        <v>12.4</v>
      </c>
      <c r="V39" s="24">
        <v>20.1</v>
      </c>
      <c r="W39" s="24">
        <v>35.7</v>
      </c>
      <c r="X39" s="24">
        <v>12.8</v>
      </c>
      <c r="Y39" s="24">
        <v>21.6</v>
      </c>
      <c r="Z39" s="24">
        <v>42.3</v>
      </c>
      <c r="AA39" s="24">
        <v>7.2</v>
      </c>
      <c r="AB39" s="24">
        <v>17.3</v>
      </c>
      <c r="AC39" s="24">
        <v>44.4</v>
      </c>
    </row>
  </sheetData>
  <mergeCells count="5">
    <mergeCell ref="A2:A14"/>
    <mergeCell ref="A15:A18"/>
    <mergeCell ref="A19:A20"/>
    <mergeCell ref="A21:A24"/>
    <mergeCell ref="A25:A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13"/>
    <col customWidth="1" min="3" max="3" width="15.63"/>
    <col customWidth="1" min="4" max="4" width="8.88"/>
    <col customWidth="1" min="5" max="5" width="21.75"/>
  </cols>
  <sheetData>
    <row r="1">
      <c r="A1" s="34" t="s">
        <v>71</v>
      </c>
      <c r="B1" s="35" t="s">
        <v>72</v>
      </c>
      <c r="C1" s="34" t="s">
        <v>73</v>
      </c>
      <c r="D1" s="34" t="s">
        <v>74</v>
      </c>
      <c r="E1" s="34" t="s">
        <v>75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>
      <c r="A2" s="37" t="s">
        <v>1</v>
      </c>
      <c r="B2" s="38">
        <f>IFERROR(__xludf.DUMMYFUNCTION("ARRAYFORMULA(IF(A2:A1001="""","""",IFERROR(VALUE(REGEXEXTRACT(TRIM(A2:A1001),""\d+$"")),"""")))"),10.0)</f>
        <v>10</v>
      </c>
      <c r="C2" s="36" t="s">
        <v>29</v>
      </c>
      <c r="D2" s="39">
        <v>0.007</v>
      </c>
      <c r="E2" s="36" t="s">
        <v>28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>
      <c r="A3" s="37" t="s">
        <v>2</v>
      </c>
      <c r="B3" s="38">
        <f>IFERROR(__xludf.DUMMYFUNCTION("""COMPUTED_VALUE"""),20.0)</f>
        <v>20</v>
      </c>
      <c r="C3" s="36" t="s">
        <v>29</v>
      </c>
      <c r="D3" s="39">
        <v>0.007</v>
      </c>
      <c r="E3" s="36" t="s">
        <v>28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>
      <c r="A4" s="37" t="s">
        <v>3</v>
      </c>
      <c r="B4" s="38">
        <f>IFERROR(__xludf.DUMMYFUNCTION("""COMPUTED_VALUE"""),30.0)</f>
        <v>30</v>
      </c>
      <c r="C4" s="36" t="s">
        <v>29</v>
      </c>
      <c r="D4" s="39">
        <v>0.007</v>
      </c>
      <c r="E4" s="36" t="s">
        <v>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37" t="s">
        <v>4</v>
      </c>
      <c r="B5" s="38">
        <f>IFERROR(__xludf.DUMMYFUNCTION("""COMPUTED_VALUE"""),10.0)</f>
        <v>10</v>
      </c>
      <c r="C5" s="36" t="s">
        <v>29</v>
      </c>
      <c r="D5" s="39">
        <v>0.072</v>
      </c>
      <c r="E5" s="36" t="s">
        <v>28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37" t="s">
        <v>5</v>
      </c>
      <c r="B6" s="38">
        <f>IFERROR(__xludf.DUMMYFUNCTION("""COMPUTED_VALUE"""),20.0)</f>
        <v>20</v>
      </c>
      <c r="C6" s="36" t="s">
        <v>29</v>
      </c>
      <c r="D6" s="39">
        <v>0.072</v>
      </c>
      <c r="E6" s="36" t="s">
        <v>28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>
      <c r="A7" s="37" t="s">
        <v>6</v>
      </c>
      <c r="B7" s="38">
        <f>IFERROR(__xludf.DUMMYFUNCTION("""COMPUTED_VALUE"""),30.0)</f>
        <v>30</v>
      </c>
      <c r="C7" s="36" t="s">
        <v>29</v>
      </c>
      <c r="D7" s="39">
        <v>0.072</v>
      </c>
      <c r="E7" s="36" t="s">
        <v>28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37" t="s">
        <v>7</v>
      </c>
      <c r="B8" s="38">
        <f>IFERROR(__xludf.DUMMYFUNCTION("""COMPUTED_VALUE"""),10.0)</f>
        <v>10</v>
      </c>
      <c r="C8" s="36" t="s">
        <v>29</v>
      </c>
      <c r="D8" s="39">
        <v>0.077</v>
      </c>
      <c r="E8" s="36" t="s">
        <v>28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37" t="s">
        <v>8</v>
      </c>
      <c r="B9" s="38">
        <f>IFERROR(__xludf.DUMMYFUNCTION("""COMPUTED_VALUE"""),20.0)</f>
        <v>20</v>
      </c>
      <c r="C9" s="36" t="s">
        <v>29</v>
      </c>
      <c r="D9" s="39">
        <v>0.077</v>
      </c>
      <c r="E9" s="36" t="s">
        <v>28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37" t="s">
        <v>9</v>
      </c>
      <c r="B10" s="38">
        <f>IFERROR(__xludf.DUMMYFUNCTION("""COMPUTED_VALUE"""),30.0)</f>
        <v>30</v>
      </c>
      <c r="C10" s="36" t="s">
        <v>29</v>
      </c>
      <c r="D10" s="39">
        <v>0.077</v>
      </c>
      <c r="E10" s="36" t="s">
        <v>28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37" t="s">
        <v>10</v>
      </c>
      <c r="B11" s="38">
        <f>IFERROR(__xludf.DUMMYFUNCTION("""COMPUTED_VALUE"""),10.0)</f>
        <v>10</v>
      </c>
      <c r="C11" s="36" t="s">
        <v>29</v>
      </c>
      <c r="D11" s="39">
        <v>0.13</v>
      </c>
      <c r="E11" s="36" t="s">
        <v>28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37" t="s">
        <v>11</v>
      </c>
      <c r="B12" s="38">
        <f>IFERROR(__xludf.DUMMYFUNCTION("""COMPUTED_VALUE"""),20.0)</f>
        <v>20</v>
      </c>
      <c r="C12" s="36" t="s">
        <v>29</v>
      </c>
      <c r="D12" s="39">
        <v>0.13</v>
      </c>
      <c r="E12" s="36" t="s">
        <v>28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37" t="s">
        <v>12</v>
      </c>
      <c r="B13" s="38">
        <f>IFERROR(__xludf.DUMMYFUNCTION("""COMPUTED_VALUE"""),30.0)</f>
        <v>30</v>
      </c>
      <c r="C13" s="36" t="s">
        <v>29</v>
      </c>
      <c r="D13" s="39">
        <v>0.13</v>
      </c>
      <c r="E13" s="36" t="s">
        <v>28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37" t="s">
        <v>13</v>
      </c>
      <c r="B14" s="38">
        <f>IFERROR(__xludf.DUMMYFUNCTION("""COMPUTED_VALUE"""),10.0)</f>
        <v>10</v>
      </c>
      <c r="C14" s="36" t="s">
        <v>29</v>
      </c>
      <c r="D14" s="39">
        <v>0.116</v>
      </c>
      <c r="E14" s="36" t="s">
        <v>28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37" t="s">
        <v>14</v>
      </c>
      <c r="B15" s="38">
        <f>IFERROR(__xludf.DUMMYFUNCTION("""COMPUTED_VALUE"""),20.0)</f>
        <v>20</v>
      </c>
      <c r="C15" s="36" t="s">
        <v>29</v>
      </c>
      <c r="D15" s="39">
        <v>0.116</v>
      </c>
      <c r="E15" s="36" t="s">
        <v>28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37" t="s">
        <v>15</v>
      </c>
      <c r="B16" s="38">
        <f>IFERROR(__xludf.DUMMYFUNCTION("""COMPUTED_VALUE"""),30.0)</f>
        <v>30</v>
      </c>
      <c r="C16" s="36" t="s">
        <v>29</v>
      </c>
      <c r="D16" s="39">
        <v>0.116</v>
      </c>
      <c r="E16" s="36" t="s">
        <v>28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37" t="s">
        <v>16</v>
      </c>
      <c r="B17" s="38">
        <f>IFERROR(__xludf.DUMMYFUNCTION("""COMPUTED_VALUE"""),10.0)</f>
        <v>10</v>
      </c>
      <c r="C17" s="36" t="s">
        <v>29</v>
      </c>
      <c r="D17" s="39">
        <v>0.009</v>
      </c>
      <c r="E17" s="36" t="s">
        <v>28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37" t="s">
        <v>17</v>
      </c>
      <c r="B18" s="38">
        <f>IFERROR(__xludf.DUMMYFUNCTION("""COMPUTED_VALUE"""),20.0)</f>
        <v>20</v>
      </c>
      <c r="C18" s="36" t="s">
        <v>29</v>
      </c>
      <c r="D18" s="39">
        <v>0.009</v>
      </c>
      <c r="E18" s="36" t="s">
        <v>28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37" t="s">
        <v>18</v>
      </c>
      <c r="B19" s="38">
        <f>IFERROR(__xludf.DUMMYFUNCTION("""COMPUTED_VALUE"""),30.0)</f>
        <v>30</v>
      </c>
      <c r="C19" s="36" t="s">
        <v>29</v>
      </c>
      <c r="D19" s="39">
        <v>0.009</v>
      </c>
      <c r="E19" s="36" t="s">
        <v>28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37" t="s">
        <v>19</v>
      </c>
      <c r="B20" s="38">
        <f>IFERROR(__xludf.DUMMYFUNCTION("""COMPUTED_VALUE"""),10.0)</f>
        <v>10</v>
      </c>
      <c r="C20" s="36" t="s">
        <v>29</v>
      </c>
      <c r="D20" s="39">
        <v>0.01</v>
      </c>
      <c r="E20" s="36" t="s">
        <v>28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37" t="s">
        <v>20</v>
      </c>
      <c r="B21" s="38">
        <f>IFERROR(__xludf.DUMMYFUNCTION("""COMPUTED_VALUE"""),20.0)</f>
        <v>20</v>
      </c>
      <c r="C21" s="36" t="s">
        <v>29</v>
      </c>
      <c r="D21" s="39">
        <v>0.01</v>
      </c>
      <c r="E21" s="36" t="s">
        <v>28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37" t="s">
        <v>21</v>
      </c>
      <c r="B22" s="38">
        <f>IFERROR(__xludf.DUMMYFUNCTION("""COMPUTED_VALUE"""),30.0)</f>
        <v>30</v>
      </c>
      <c r="C22" s="36" t="s">
        <v>29</v>
      </c>
      <c r="D22" s="39">
        <v>0.01</v>
      </c>
      <c r="E22" s="36" t="s">
        <v>28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7" t="s">
        <v>22</v>
      </c>
      <c r="B23" s="38">
        <f>IFERROR(__xludf.DUMMYFUNCTION("""COMPUTED_VALUE"""),10.0)</f>
        <v>10</v>
      </c>
      <c r="C23" s="36" t="s">
        <v>29</v>
      </c>
      <c r="D23" s="39">
        <v>0.0</v>
      </c>
      <c r="E23" s="36" t="s">
        <v>28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37" t="s">
        <v>23</v>
      </c>
      <c r="B24" s="38">
        <f>IFERROR(__xludf.DUMMYFUNCTION("""COMPUTED_VALUE"""),20.0)</f>
        <v>20</v>
      </c>
      <c r="C24" s="36" t="s">
        <v>29</v>
      </c>
      <c r="D24" s="39">
        <v>0.0</v>
      </c>
      <c r="E24" s="36" t="s">
        <v>28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7" t="s">
        <v>24</v>
      </c>
      <c r="B25" s="38">
        <f>IFERROR(__xludf.DUMMYFUNCTION("""COMPUTED_VALUE"""),30.0)</f>
        <v>30</v>
      </c>
      <c r="C25" s="36" t="s">
        <v>29</v>
      </c>
      <c r="D25" s="39">
        <v>0.0</v>
      </c>
      <c r="E25" s="36" t="s">
        <v>28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37" t="s">
        <v>1</v>
      </c>
      <c r="B26" s="38">
        <f>IFERROR(__xludf.DUMMYFUNCTION("""COMPUTED_VALUE"""),10.0)</f>
        <v>10</v>
      </c>
      <c r="C26" s="36" t="s">
        <v>30</v>
      </c>
      <c r="D26" s="39">
        <v>0.155</v>
      </c>
      <c r="E26" s="36" t="s">
        <v>28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37" t="s">
        <v>2</v>
      </c>
      <c r="B27" s="38">
        <f>IFERROR(__xludf.DUMMYFUNCTION("""COMPUTED_VALUE"""),20.0)</f>
        <v>20</v>
      </c>
      <c r="C27" s="36" t="s">
        <v>30</v>
      </c>
      <c r="D27" s="39">
        <v>0.155</v>
      </c>
      <c r="E27" s="36" t="s">
        <v>28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7" t="s">
        <v>3</v>
      </c>
      <c r="B28" s="38">
        <f>IFERROR(__xludf.DUMMYFUNCTION("""COMPUTED_VALUE"""),30.0)</f>
        <v>30</v>
      </c>
      <c r="C28" s="36" t="s">
        <v>30</v>
      </c>
      <c r="D28" s="39">
        <v>0.155</v>
      </c>
      <c r="E28" s="36" t="s">
        <v>28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7" t="s">
        <v>4</v>
      </c>
      <c r="B29" s="38">
        <f>IFERROR(__xludf.DUMMYFUNCTION("""COMPUTED_VALUE"""),10.0)</f>
        <v>10</v>
      </c>
      <c r="C29" s="36" t="s">
        <v>30</v>
      </c>
      <c r="D29" s="39">
        <v>0.08</v>
      </c>
      <c r="E29" s="36" t="s">
        <v>28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7" t="s">
        <v>5</v>
      </c>
      <c r="B30" s="38">
        <f>IFERROR(__xludf.DUMMYFUNCTION("""COMPUTED_VALUE"""),20.0)</f>
        <v>20</v>
      </c>
      <c r="C30" s="36" t="s">
        <v>30</v>
      </c>
      <c r="D30" s="39">
        <v>0.08</v>
      </c>
      <c r="E30" s="36" t="s">
        <v>28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7" t="s">
        <v>6</v>
      </c>
      <c r="B31" s="38">
        <f>IFERROR(__xludf.DUMMYFUNCTION("""COMPUTED_VALUE"""),30.0)</f>
        <v>30</v>
      </c>
      <c r="C31" s="36" t="s">
        <v>30</v>
      </c>
      <c r="D31" s="39">
        <v>0.08</v>
      </c>
      <c r="E31" s="36" t="s">
        <v>28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7" t="s">
        <v>7</v>
      </c>
      <c r="B32" s="38">
        <f>IFERROR(__xludf.DUMMYFUNCTION("""COMPUTED_VALUE"""),10.0)</f>
        <v>10</v>
      </c>
      <c r="C32" s="36" t="s">
        <v>30</v>
      </c>
      <c r="D32" s="39">
        <v>0.048</v>
      </c>
      <c r="E32" s="36" t="s">
        <v>28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7" t="s">
        <v>8</v>
      </c>
      <c r="B33" s="38">
        <f>IFERROR(__xludf.DUMMYFUNCTION("""COMPUTED_VALUE"""),20.0)</f>
        <v>20</v>
      </c>
      <c r="C33" s="36" t="s">
        <v>30</v>
      </c>
      <c r="D33" s="39">
        <v>0.048</v>
      </c>
      <c r="E33" s="36" t="s">
        <v>28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7" t="s">
        <v>9</v>
      </c>
      <c r="B34" s="38">
        <f>IFERROR(__xludf.DUMMYFUNCTION("""COMPUTED_VALUE"""),30.0)</f>
        <v>30</v>
      </c>
      <c r="C34" s="36" t="s">
        <v>30</v>
      </c>
      <c r="D34" s="39">
        <v>0.048</v>
      </c>
      <c r="E34" s="36" t="s">
        <v>28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7" t="s">
        <v>10</v>
      </c>
      <c r="B35" s="38">
        <f>IFERROR(__xludf.DUMMYFUNCTION("""COMPUTED_VALUE"""),10.0)</f>
        <v>10</v>
      </c>
      <c r="C35" s="36" t="s">
        <v>30</v>
      </c>
      <c r="D35" s="39">
        <v>0.068</v>
      </c>
      <c r="E35" s="36" t="s">
        <v>28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37" t="s">
        <v>11</v>
      </c>
      <c r="B36" s="38">
        <f>IFERROR(__xludf.DUMMYFUNCTION("""COMPUTED_VALUE"""),20.0)</f>
        <v>20</v>
      </c>
      <c r="C36" s="36" t="s">
        <v>30</v>
      </c>
      <c r="D36" s="39">
        <v>0.068</v>
      </c>
      <c r="E36" s="36" t="s">
        <v>28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7" t="s">
        <v>12</v>
      </c>
      <c r="B37" s="38">
        <f>IFERROR(__xludf.DUMMYFUNCTION("""COMPUTED_VALUE"""),30.0)</f>
        <v>30</v>
      </c>
      <c r="C37" s="36" t="s">
        <v>30</v>
      </c>
      <c r="D37" s="39">
        <v>0.068</v>
      </c>
      <c r="E37" s="36" t="s">
        <v>28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7" t="s">
        <v>13</v>
      </c>
      <c r="B38" s="38">
        <f>IFERROR(__xludf.DUMMYFUNCTION("""COMPUTED_VALUE"""),10.0)</f>
        <v>10</v>
      </c>
      <c r="C38" s="36" t="s">
        <v>30</v>
      </c>
      <c r="D38" s="39">
        <v>0.072</v>
      </c>
      <c r="E38" s="36" t="s">
        <v>28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7" t="s">
        <v>14</v>
      </c>
      <c r="B39" s="38">
        <f>IFERROR(__xludf.DUMMYFUNCTION("""COMPUTED_VALUE"""),20.0)</f>
        <v>20</v>
      </c>
      <c r="C39" s="36" t="s">
        <v>30</v>
      </c>
      <c r="D39" s="39">
        <v>0.072</v>
      </c>
      <c r="E39" s="36" t="s">
        <v>28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7" t="s">
        <v>15</v>
      </c>
      <c r="B40" s="38">
        <f>IFERROR(__xludf.DUMMYFUNCTION("""COMPUTED_VALUE"""),30.0)</f>
        <v>30</v>
      </c>
      <c r="C40" s="36" t="s">
        <v>30</v>
      </c>
      <c r="D40" s="39">
        <v>0.072</v>
      </c>
      <c r="E40" s="36" t="s">
        <v>28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7" t="s">
        <v>16</v>
      </c>
      <c r="B41" s="38">
        <f>IFERROR(__xludf.DUMMYFUNCTION("""COMPUTED_VALUE"""),10.0)</f>
        <v>10</v>
      </c>
      <c r="C41" s="36" t="s">
        <v>30</v>
      </c>
      <c r="D41" s="39">
        <v>0.04</v>
      </c>
      <c r="E41" s="36" t="s">
        <v>28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7" t="s">
        <v>17</v>
      </c>
      <c r="B42" s="38">
        <f>IFERROR(__xludf.DUMMYFUNCTION("""COMPUTED_VALUE"""),20.0)</f>
        <v>20</v>
      </c>
      <c r="C42" s="36" t="s">
        <v>30</v>
      </c>
      <c r="D42" s="39">
        <v>0.04</v>
      </c>
      <c r="E42" s="36" t="s">
        <v>28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7" t="s">
        <v>18</v>
      </c>
      <c r="B43" s="38">
        <f>IFERROR(__xludf.DUMMYFUNCTION("""COMPUTED_VALUE"""),30.0)</f>
        <v>30</v>
      </c>
      <c r="C43" s="36" t="s">
        <v>30</v>
      </c>
      <c r="D43" s="39">
        <v>0.04</v>
      </c>
      <c r="E43" s="36" t="s">
        <v>28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7" t="s">
        <v>19</v>
      </c>
      <c r="B44" s="38">
        <f>IFERROR(__xludf.DUMMYFUNCTION("""COMPUTED_VALUE"""),10.0)</f>
        <v>10</v>
      </c>
      <c r="C44" s="36" t="s">
        <v>30</v>
      </c>
      <c r="D44" s="39">
        <v>0.037</v>
      </c>
      <c r="E44" s="36" t="s">
        <v>28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7" t="s">
        <v>20</v>
      </c>
      <c r="B45" s="38">
        <f>IFERROR(__xludf.DUMMYFUNCTION("""COMPUTED_VALUE"""),20.0)</f>
        <v>20</v>
      </c>
      <c r="C45" s="36" t="s">
        <v>30</v>
      </c>
      <c r="D45" s="39">
        <v>0.037</v>
      </c>
      <c r="E45" s="36" t="s">
        <v>28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7" t="s">
        <v>21</v>
      </c>
      <c r="B46" s="38">
        <f>IFERROR(__xludf.DUMMYFUNCTION("""COMPUTED_VALUE"""),30.0)</f>
        <v>30</v>
      </c>
      <c r="C46" s="36" t="s">
        <v>30</v>
      </c>
      <c r="D46" s="39">
        <v>0.037</v>
      </c>
      <c r="E46" s="36" t="s">
        <v>28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7" t="s">
        <v>22</v>
      </c>
      <c r="B47" s="38">
        <f>IFERROR(__xludf.DUMMYFUNCTION("""COMPUTED_VALUE"""),10.0)</f>
        <v>10</v>
      </c>
      <c r="C47" s="36" t="s">
        <v>30</v>
      </c>
      <c r="D47" s="39">
        <v>0.0</v>
      </c>
      <c r="E47" s="36" t="s">
        <v>28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7" t="s">
        <v>23</v>
      </c>
      <c r="B48" s="38">
        <f>IFERROR(__xludf.DUMMYFUNCTION("""COMPUTED_VALUE"""),20.0)</f>
        <v>20</v>
      </c>
      <c r="C48" s="36" t="s">
        <v>30</v>
      </c>
      <c r="D48" s="39">
        <v>0.0</v>
      </c>
      <c r="E48" s="36" t="s">
        <v>28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7" t="s">
        <v>24</v>
      </c>
      <c r="B49" s="38">
        <f>IFERROR(__xludf.DUMMYFUNCTION("""COMPUTED_VALUE"""),30.0)</f>
        <v>30</v>
      </c>
      <c r="C49" s="36" t="s">
        <v>30</v>
      </c>
      <c r="D49" s="39">
        <v>0.0</v>
      </c>
      <c r="E49" s="36" t="s">
        <v>28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7" t="s">
        <v>1</v>
      </c>
      <c r="B50" s="38">
        <f>IFERROR(__xludf.DUMMYFUNCTION("""COMPUTED_VALUE"""),10.0)</f>
        <v>10</v>
      </c>
      <c r="C50" s="36" t="s">
        <v>31</v>
      </c>
      <c r="D50" s="39">
        <v>0.22</v>
      </c>
      <c r="E50" s="36" t="s">
        <v>28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7" t="s">
        <v>2</v>
      </c>
      <c r="B51" s="38">
        <f>IFERROR(__xludf.DUMMYFUNCTION("""COMPUTED_VALUE"""),20.0)</f>
        <v>20</v>
      </c>
      <c r="C51" s="36" t="s">
        <v>31</v>
      </c>
      <c r="D51" s="39">
        <v>0.22</v>
      </c>
      <c r="E51" s="36" t="s">
        <v>28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7" t="s">
        <v>3</v>
      </c>
      <c r="B52" s="38">
        <f>IFERROR(__xludf.DUMMYFUNCTION("""COMPUTED_VALUE"""),30.0)</f>
        <v>30</v>
      </c>
      <c r="C52" s="36" t="s">
        <v>31</v>
      </c>
      <c r="D52" s="39">
        <v>0.22</v>
      </c>
      <c r="E52" s="36" t="s">
        <v>28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7" t="s">
        <v>4</v>
      </c>
      <c r="B53" s="38">
        <f>IFERROR(__xludf.DUMMYFUNCTION("""COMPUTED_VALUE"""),10.0)</f>
        <v>10</v>
      </c>
      <c r="C53" s="36" t="s">
        <v>31</v>
      </c>
      <c r="D53" s="39">
        <v>0.106</v>
      </c>
      <c r="E53" s="36" t="s">
        <v>28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7" t="s">
        <v>5</v>
      </c>
      <c r="B54" s="38">
        <f>IFERROR(__xludf.DUMMYFUNCTION("""COMPUTED_VALUE"""),20.0)</f>
        <v>20</v>
      </c>
      <c r="C54" s="36" t="s">
        <v>31</v>
      </c>
      <c r="D54" s="39">
        <v>0.106</v>
      </c>
      <c r="E54" s="36" t="s">
        <v>28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7" t="s">
        <v>6</v>
      </c>
      <c r="B55" s="38">
        <f>IFERROR(__xludf.DUMMYFUNCTION("""COMPUTED_VALUE"""),30.0)</f>
        <v>30</v>
      </c>
      <c r="C55" s="36" t="s">
        <v>31</v>
      </c>
      <c r="D55" s="39">
        <v>0.106</v>
      </c>
      <c r="E55" s="36" t="s">
        <v>28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7" t="s">
        <v>7</v>
      </c>
      <c r="B56" s="38">
        <f>IFERROR(__xludf.DUMMYFUNCTION("""COMPUTED_VALUE"""),10.0)</f>
        <v>10</v>
      </c>
      <c r="C56" s="36" t="s">
        <v>31</v>
      </c>
      <c r="D56" s="39">
        <v>0.118</v>
      </c>
      <c r="E56" s="36" t="s">
        <v>28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7" t="s">
        <v>8</v>
      </c>
      <c r="B57" s="38">
        <f>IFERROR(__xludf.DUMMYFUNCTION("""COMPUTED_VALUE"""),20.0)</f>
        <v>20</v>
      </c>
      <c r="C57" s="36" t="s">
        <v>31</v>
      </c>
      <c r="D57" s="39">
        <v>0.118</v>
      </c>
      <c r="E57" s="36" t="s">
        <v>28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7" t="s">
        <v>9</v>
      </c>
      <c r="B58" s="38">
        <f>IFERROR(__xludf.DUMMYFUNCTION("""COMPUTED_VALUE"""),30.0)</f>
        <v>30</v>
      </c>
      <c r="C58" s="36" t="s">
        <v>31</v>
      </c>
      <c r="D58" s="39">
        <v>0.118</v>
      </c>
      <c r="E58" s="36" t="s">
        <v>28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7" t="s">
        <v>10</v>
      </c>
      <c r="B59" s="38">
        <f>IFERROR(__xludf.DUMMYFUNCTION("""COMPUTED_VALUE"""),10.0)</f>
        <v>10</v>
      </c>
      <c r="C59" s="36" t="s">
        <v>31</v>
      </c>
      <c r="D59" s="39">
        <v>0.023</v>
      </c>
      <c r="E59" s="36" t="s">
        <v>28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7" t="s">
        <v>11</v>
      </c>
      <c r="B60" s="38">
        <f>IFERROR(__xludf.DUMMYFUNCTION("""COMPUTED_VALUE"""),20.0)</f>
        <v>20</v>
      </c>
      <c r="C60" s="36" t="s">
        <v>31</v>
      </c>
      <c r="D60" s="39">
        <v>0.023</v>
      </c>
      <c r="E60" s="36" t="s">
        <v>28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7" t="s">
        <v>12</v>
      </c>
      <c r="B61" s="38">
        <f>IFERROR(__xludf.DUMMYFUNCTION("""COMPUTED_VALUE"""),30.0)</f>
        <v>30</v>
      </c>
      <c r="C61" s="36" t="s">
        <v>31</v>
      </c>
      <c r="D61" s="39">
        <v>0.023</v>
      </c>
      <c r="E61" s="36" t="s">
        <v>28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7" t="s">
        <v>13</v>
      </c>
      <c r="B62" s="38">
        <f>IFERROR(__xludf.DUMMYFUNCTION("""COMPUTED_VALUE"""),10.0)</f>
        <v>10</v>
      </c>
      <c r="C62" s="36" t="s">
        <v>31</v>
      </c>
      <c r="D62" s="39">
        <v>0.044</v>
      </c>
      <c r="E62" s="36" t="s">
        <v>28</v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7" t="s">
        <v>14</v>
      </c>
      <c r="B63" s="38">
        <f>IFERROR(__xludf.DUMMYFUNCTION("""COMPUTED_VALUE"""),20.0)</f>
        <v>20</v>
      </c>
      <c r="C63" s="36" t="s">
        <v>31</v>
      </c>
      <c r="D63" s="39">
        <v>0.044</v>
      </c>
      <c r="E63" s="36" t="s">
        <v>28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7" t="s">
        <v>15</v>
      </c>
      <c r="B64" s="38">
        <f>IFERROR(__xludf.DUMMYFUNCTION("""COMPUTED_VALUE"""),30.0)</f>
        <v>30</v>
      </c>
      <c r="C64" s="36" t="s">
        <v>31</v>
      </c>
      <c r="D64" s="39">
        <v>0.044</v>
      </c>
      <c r="E64" s="36" t="s">
        <v>28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7" t="s">
        <v>16</v>
      </c>
      <c r="B65" s="38">
        <f>IFERROR(__xludf.DUMMYFUNCTION("""COMPUTED_VALUE"""),10.0)</f>
        <v>10</v>
      </c>
      <c r="C65" s="36" t="s">
        <v>31</v>
      </c>
      <c r="D65" s="39">
        <v>0.104</v>
      </c>
      <c r="E65" s="36" t="s">
        <v>28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7" t="s">
        <v>17</v>
      </c>
      <c r="B66" s="38">
        <f>IFERROR(__xludf.DUMMYFUNCTION("""COMPUTED_VALUE"""),20.0)</f>
        <v>20</v>
      </c>
      <c r="C66" s="36" t="s">
        <v>31</v>
      </c>
      <c r="D66" s="39">
        <v>0.104</v>
      </c>
      <c r="E66" s="36" t="s">
        <v>28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7" t="s">
        <v>18</v>
      </c>
      <c r="B67" s="38">
        <f>IFERROR(__xludf.DUMMYFUNCTION("""COMPUTED_VALUE"""),30.0)</f>
        <v>30</v>
      </c>
      <c r="C67" s="36" t="s">
        <v>31</v>
      </c>
      <c r="D67" s="39">
        <v>0.104</v>
      </c>
      <c r="E67" s="36" t="s">
        <v>28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7" t="s">
        <v>19</v>
      </c>
      <c r="B68" s="38">
        <f>IFERROR(__xludf.DUMMYFUNCTION("""COMPUTED_VALUE"""),10.0)</f>
        <v>10</v>
      </c>
      <c r="C68" s="36" t="s">
        <v>31</v>
      </c>
      <c r="D68" s="39">
        <v>0.043</v>
      </c>
      <c r="E68" s="36" t="s">
        <v>28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7" t="s">
        <v>20</v>
      </c>
      <c r="B69" s="38">
        <f>IFERROR(__xludf.DUMMYFUNCTION("""COMPUTED_VALUE"""),20.0)</f>
        <v>20</v>
      </c>
      <c r="C69" s="36" t="s">
        <v>31</v>
      </c>
      <c r="D69" s="39">
        <v>0.043</v>
      </c>
      <c r="E69" s="36" t="s">
        <v>28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7" t="s">
        <v>21</v>
      </c>
      <c r="B70" s="38">
        <f>IFERROR(__xludf.DUMMYFUNCTION("""COMPUTED_VALUE"""),30.0)</f>
        <v>30</v>
      </c>
      <c r="C70" s="36" t="s">
        <v>31</v>
      </c>
      <c r="D70" s="39">
        <v>0.043</v>
      </c>
      <c r="E70" s="36" t="s">
        <v>28</v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7" t="s">
        <v>22</v>
      </c>
      <c r="B71" s="38">
        <f>IFERROR(__xludf.DUMMYFUNCTION("""COMPUTED_VALUE"""),10.0)</f>
        <v>10</v>
      </c>
      <c r="C71" s="36" t="s">
        <v>31</v>
      </c>
      <c r="D71" s="39">
        <v>0.005</v>
      </c>
      <c r="E71" s="36" t="s">
        <v>28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7" t="s">
        <v>23</v>
      </c>
      <c r="B72" s="38">
        <f>IFERROR(__xludf.DUMMYFUNCTION("""COMPUTED_VALUE"""),20.0)</f>
        <v>20</v>
      </c>
      <c r="C72" s="36" t="s">
        <v>31</v>
      </c>
      <c r="D72" s="39">
        <v>0.005</v>
      </c>
      <c r="E72" s="36" t="s">
        <v>28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7" t="s">
        <v>24</v>
      </c>
      <c r="B73" s="38">
        <f>IFERROR(__xludf.DUMMYFUNCTION("""COMPUTED_VALUE"""),30.0)</f>
        <v>30</v>
      </c>
      <c r="C73" s="36" t="s">
        <v>31</v>
      </c>
      <c r="D73" s="39">
        <v>0.005</v>
      </c>
      <c r="E73" s="36" t="s">
        <v>28</v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7" t="s">
        <v>1</v>
      </c>
      <c r="B74" s="38">
        <f>IFERROR(__xludf.DUMMYFUNCTION("""COMPUTED_VALUE"""),10.0)</f>
        <v>10</v>
      </c>
      <c r="C74" s="36" t="s">
        <v>32</v>
      </c>
      <c r="D74" s="39">
        <v>0.114</v>
      </c>
      <c r="E74" s="36" t="s">
        <v>28</v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7" t="s">
        <v>2</v>
      </c>
      <c r="B75" s="38">
        <f>IFERROR(__xludf.DUMMYFUNCTION("""COMPUTED_VALUE"""),20.0)</f>
        <v>20</v>
      </c>
      <c r="C75" s="36" t="s">
        <v>32</v>
      </c>
      <c r="D75" s="39">
        <v>0.114</v>
      </c>
      <c r="E75" s="36" t="s">
        <v>28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7" t="s">
        <v>3</v>
      </c>
      <c r="B76" s="38">
        <f>IFERROR(__xludf.DUMMYFUNCTION("""COMPUTED_VALUE"""),30.0)</f>
        <v>30</v>
      </c>
      <c r="C76" s="36" t="s">
        <v>32</v>
      </c>
      <c r="D76" s="39">
        <v>0.114</v>
      </c>
      <c r="E76" s="36" t="s">
        <v>28</v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7" t="s">
        <v>4</v>
      </c>
      <c r="B77" s="38">
        <f>IFERROR(__xludf.DUMMYFUNCTION("""COMPUTED_VALUE"""),10.0)</f>
        <v>10</v>
      </c>
      <c r="C77" s="36" t="s">
        <v>32</v>
      </c>
      <c r="D77" s="39">
        <v>0.0</v>
      </c>
      <c r="E77" s="36" t="s">
        <v>28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7" t="s">
        <v>5</v>
      </c>
      <c r="B78" s="38">
        <f>IFERROR(__xludf.DUMMYFUNCTION("""COMPUTED_VALUE"""),20.0)</f>
        <v>20</v>
      </c>
      <c r="C78" s="36" t="s">
        <v>32</v>
      </c>
      <c r="D78" s="39">
        <v>0.0</v>
      </c>
      <c r="E78" s="36" t="s">
        <v>28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7" t="s">
        <v>6</v>
      </c>
      <c r="B79" s="38">
        <f>IFERROR(__xludf.DUMMYFUNCTION("""COMPUTED_VALUE"""),30.0)</f>
        <v>30</v>
      </c>
      <c r="C79" s="36" t="s">
        <v>32</v>
      </c>
      <c r="D79" s="39">
        <v>0.0</v>
      </c>
      <c r="E79" s="36" t="s">
        <v>28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7" t="s">
        <v>7</v>
      </c>
      <c r="B80" s="38">
        <f>IFERROR(__xludf.DUMMYFUNCTION("""COMPUTED_VALUE"""),10.0)</f>
        <v>10</v>
      </c>
      <c r="C80" s="36" t="s">
        <v>32</v>
      </c>
      <c r="D80" s="39">
        <v>0.34</v>
      </c>
      <c r="E80" s="36" t="s">
        <v>28</v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7" t="s">
        <v>8</v>
      </c>
      <c r="B81" s="38">
        <f>IFERROR(__xludf.DUMMYFUNCTION("""COMPUTED_VALUE"""),20.0)</f>
        <v>20</v>
      </c>
      <c r="C81" s="36" t="s">
        <v>32</v>
      </c>
      <c r="D81" s="39">
        <v>0.34</v>
      </c>
      <c r="E81" s="36" t="s">
        <v>28</v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7" t="s">
        <v>9</v>
      </c>
      <c r="B82" s="38">
        <f>IFERROR(__xludf.DUMMYFUNCTION("""COMPUTED_VALUE"""),30.0)</f>
        <v>30</v>
      </c>
      <c r="C82" s="36" t="s">
        <v>32</v>
      </c>
      <c r="D82" s="39">
        <v>0.34</v>
      </c>
      <c r="E82" s="36" t="s">
        <v>28</v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7" t="s">
        <v>10</v>
      </c>
      <c r="B83" s="38">
        <f>IFERROR(__xludf.DUMMYFUNCTION("""COMPUTED_VALUE"""),10.0)</f>
        <v>10</v>
      </c>
      <c r="C83" s="36" t="s">
        <v>32</v>
      </c>
      <c r="D83" s="39">
        <v>0.097</v>
      </c>
      <c r="E83" s="36" t="s">
        <v>28</v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7" t="s">
        <v>11</v>
      </c>
      <c r="B84" s="38">
        <f>IFERROR(__xludf.DUMMYFUNCTION("""COMPUTED_VALUE"""),20.0)</f>
        <v>20</v>
      </c>
      <c r="C84" s="36" t="s">
        <v>32</v>
      </c>
      <c r="D84" s="39">
        <v>0.097</v>
      </c>
      <c r="E84" s="36" t="s">
        <v>28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7" t="s">
        <v>12</v>
      </c>
      <c r="B85" s="38">
        <f>IFERROR(__xludf.DUMMYFUNCTION("""COMPUTED_VALUE"""),30.0)</f>
        <v>30</v>
      </c>
      <c r="C85" s="36" t="s">
        <v>32</v>
      </c>
      <c r="D85" s="39">
        <v>0.097</v>
      </c>
      <c r="E85" s="36" t="s">
        <v>28</v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7" t="s">
        <v>13</v>
      </c>
      <c r="B86" s="38">
        <f>IFERROR(__xludf.DUMMYFUNCTION("""COMPUTED_VALUE"""),10.0)</f>
        <v>10</v>
      </c>
      <c r="C86" s="36" t="s">
        <v>32</v>
      </c>
      <c r="D86" s="39">
        <v>0.117</v>
      </c>
      <c r="E86" s="36" t="s">
        <v>28</v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7" t="s">
        <v>14</v>
      </c>
      <c r="B87" s="38">
        <f>IFERROR(__xludf.DUMMYFUNCTION("""COMPUTED_VALUE"""),20.0)</f>
        <v>20</v>
      </c>
      <c r="C87" s="36" t="s">
        <v>32</v>
      </c>
      <c r="D87" s="39">
        <v>0.117</v>
      </c>
      <c r="E87" s="36" t="s">
        <v>28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7" t="s">
        <v>15</v>
      </c>
      <c r="B88" s="38">
        <f>IFERROR(__xludf.DUMMYFUNCTION("""COMPUTED_VALUE"""),30.0)</f>
        <v>30</v>
      </c>
      <c r="C88" s="36" t="s">
        <v>32</v>
      </c>
      <c r="D88" s="39">
        <v>0.117</v>
      </c>
      <c r="E88" s="36" t="s">
        <v>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7" t="s">
        <v>16</v>
      </c>
      <c r="B89" s="38">
        <f>IFERROR(__xludf.DUMMYFUNCTION("""COMPUTED_VALUE"""),10.0)</f>
        <v>10</v>
      </c>
      <c r="C89" s="36" t="s">
        <v>32</v>
      </c>
      <c r="D89" s="39">
        <v>0.312</v>
      </c>
      <c r="E89" s="36" t="s">
        <v>28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7" t="s">
        <v>17</v>
      </c>
      <c r="B90" s="38">
        <f>IFERROR(__xludf.DUMMYFUNCTION("""COMPUTED_VALUE"""),20.0)</f>
        <v>20</v>
      </c>
      <c r="C90" s="36" t="s">
        <v>32</v>
      </c>
      <c r="D90" s="39">
        <v>0.312</v>
      </c>
      <c r="E90" s="36" t="s">
        <v>28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7" t="s">
        <v>18</v>
      </c>
      <c r="B91" s="38">
        <f>IFERROR(__xludf.DUMMYFUNCTION("""COMPUTED_VALUE"""),30.0)</f>
        <v>30</v>
      </c>
      <c r="C91" s="36" t="s">
        <v>32</v>
      </c>
      <c r="D91" s="39">
        <v>0.312</v>
      </c>
      <c r="E91" s="36" t="s">
        <v>28</v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7" t="s">
        <v>19</v>
      </c>
      <c r="B92" s="38">
        <f>IFERROR(__xludf.DUMMYFUNCTION("""COMPUTED_VALUE"""),10.0)</f>
        <v>10</v>
      </c>
      <c r="C92" s="36" t="s">
        <v>32</v>
      </c>
      <c r="D92" s="39">
        <v>0.154</v>
      </c>
      <c r="E92" s="36" t="s">
        <v>28</v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7" t="s">
        <v>20</v>
      </c>
      <c r="B93" s="38">
        <f>IFERROR(__xludf.DUMMYFUNCTION("""COMPUTED_VALUE"""),20.0)</f>
        <v>20</v>
      </c>
      <c r="C93" s="36" t="s">
        <v>32</v>
      </c>
      <c r="D93" s="39">
        <v>0.154</v>
      </c>
      <c r="E93" s="36" t="s">
        <v>28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7" t="s">
        <v>21</v>
      </c>
      <c r="B94" s="38">
        <f>IFERROR(__xludf.DUMMYFUNCTION("""COMPUTED_VALUE"""),30.0)</f>
        <v>30</v>
      </c>
      <c r="C94" s="36" t="s">
        <v>32</v>
      </c>
      <c r="D94" s="39">
        <v>0.154</v>
      </c>
      <c r="E94" s="36" t="s">
        <v>28</v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7" t="s">
        <v>22</v>
      </c>
      <c r="B95" s="38">
        <f>IFERROR(__xludf.DUMMYFUNCTION("""COMPUTED_VALUE"""),10.0)</f>
        <v>10</v>
      </c>
      <c r="C95" s="36" t="s">
        <v>32</v>
      </c>
      <c r="D95" s="39">
        <v>0.016</v>
      </c>
      <c r="E95" s="36" t="s">
        <v>28</v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7" t="s">
        <v>23</v>
      </c>
      <c r="B96" s="38">
        <f>IFERROR(__xludf.DUMMYFUNCTION("""COMPUTED_VALUE"""),20.0)</f>
        <v>20</v>
      </c>
      <c r="C96" s="36" t="s">
        <v>32</v>
      </c>
      <c r="D96" s="39">
        <v>0.016</v>
      </c>
      <c r="E96" s="36" t="s">
        <v>28</v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7" t="s">
        <v>24</v>
      </c>
      <c r="B97" s="38">
        <f>IFERROR(__xludf.DUMMYFUNCTION("""COMPUTED_VALUE"""),30.0)</f>
        <v>30</v>
      </c>
      <c r="C97" s="36" t="s">
        <v>32</v>
      </c>
      <c r="D97" s="39">
        <v>0.016</v>
      </c>
      <c r="E97" s="36" t="s">
        <v>28</v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7" t="s">
        <v>1</v>
      </c>
      <c r="B98" s="38">
        <f>IFERROR(__xludf.DUMMYFUNCTION("""COMPUTED_VALUE"""),10.0)</f>
        <v>10</v>
      </c>
      <c r="C98" s="36" t="s">
        <v>33</v>
      </c>
      <c r="D98" s="39">
        <v>0.01</v>
      </c>
      <c r="E98" s="36" t="s">
        <v>28</v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7" t="s">
        <v>2</v>
      </c>
      <c r="B99" s="38">
        <f>IFERROR(__xludf.DUMMYFUNCTION("""COMPUTED_VALUE"""),20.0)</f>
        <v>20</v>
      </c>
      <c r="C99" s="36" t="s">
        <v>33</v>
      </c>
      <c r="D99" s="39">
        <v>0.01</v>
      </c>
      <c r="E99" s="36" t="s">
        <v>28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7" t="s">
        <v>3</v>
      </c>
      <c r="B100" s="38">
        <f>IFERROR(__xludf.DUMMYFUNCTION("""COMPUTED_VALUE"""),30.0)</f>
        <v>30</v>
      </c>
      <c r="C100" s="36" t="s">
        <v>33</v>
      </c>
      <c r="D100" s="39">
        <v>0.01</v>
      </c>
      <c r="E100" s="36" t="s">
        <v>28</v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7" t="s">
        <v>4</v>
      </c>
      <c r="B101" s="38">
        <f>IFERROR(__xludf.DUMMYFUNCTION("""COMPUTED_VALUE"""),10.0)</f>
        <v>10</v>
      </c>
      <c r="C101" s="36" t="s">
        <v>33</v>
      </c>
      <c r="D101" s="39">
        <v>0.032</v>
      </c>
      <c r="E101" s="36" t="s">
        <v>28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7" t="s">
        <v>5</v>
      </c>
      <c r="B102" s="38">
        <f>IFERROR(__xludf.DUMMYFUNCTION("""COMPUTED_VALUE"""),20.0)</f>
        <v>20</v>
      </c>
      <c r="C102" s="36" t="s">
        <v>33</v>
      </c>
      <c r="D102" s="39">
        <v>0.032</v>
      </c>
      <c r="E102" s="36" t="s">
        <v>28</v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7" t="s">
        <v>6</v>
      </c>
      <c r="B103" s="38">
        <f>IFERROR(__xludf.DUMMYFUNCTION("""COMPUTED_VALUE"""),30.0)</f>
        <v>30</v>
      </c>
      <c r="C103" s="36" t="s">
        <v>33</v>
      </c>
      <c r="D103" s="39">
        <v>0.032</v>
      </c>
      <c r="E103" s="36" t="s">
        <v>28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7" t="s">
        <v>7</v>
      </c>
      <c r="B104" s="38">
        <f>IFERROR(__xludf.DUMMYFUNCTION("""COMPUTED_VALUE"""),10.0)</f>
        <v>10</v>
      </c>
      <c r="C104" s="36" t="s">
        <v>33</v>
      </c>
      <c r="D104" s="39">
        <v>0.014</v>
      </c>
      <c r="E104" s="36" t="s">
        <v>28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7" t="s">
        <v>8</v>
      </c>
      <c r="B105" s="38">
        <f>IFERROR(__xludf.DUMMYFUNCTION("""COMPUTED_VALUE"""),20.0)</f>
        <v>20</v>
      </c>
      <c r="C105" s="36" t="s">
        <v>33</v>
      </c>
      <c r="D105" s="39">
        <v>0.014</v>
      </c>
      <c r="E105" s="36" t="s">
        <v>28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7" t="s">
        <v>9</v>
      </c>
      <c r="B106" s="38">
        <f>IFERROR(__xludf.DUMMYFUNCTION("""COMPUTED_VALUE"""),30.0)</f>
        <v>30</v>
      </c>
      <c r="C106" s="36" t="s">
        <v>33</v>
      </c>
      <c r="D106" s="39">
        <v>0.014</v>
      </c>
      <c r="E106" s="36" t="s">
        <v>28</v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7" t="s">
        <v>10</v>
      </c>
      <c r="B107" s="38">
        <f>IFERROR(__xludf.DUMMYFUNCTION("""COMPUTED_VALUE"""),10.0)</f>
        <v>10</v>
      </c>
      <c r="C107" s="36" t="s">
        <v>33</v>
      </c>
      <c r="D107" s="39">
        <v>0.026</v>
      </c>
      <c r="E107" s="36" t="s">
        <v>28</v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7" t="s">
        <v>11</v>
      </c>
      <c r="B108" s="38">
        <f>IFERROR(__xludf.DUMMYFUNCTION("""COMPUTED_VALUE"""),20.0)</f>
        <v>20</v>
      </c>
      <c r="C108" s="36" t="s">
        <v>33</v>
      </c>
      <c r="D108" s="39">
        <v>0.026</v>
      </c>
      <c r="E108" s="36" t="s">
        <v>28</v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7" t="s">
        <v>12</v>
      </c>
      <c r="B109" s="38">
        <f>IFERROR(__xludf.DUMMYFUNCTION("""COMPUTED_VALUE"""),30.0)</f>
        <v>30</v>
      </c>
      <c r="C109" s="36" t="s">
        <v>33</v>
      </c>
      <c r="D109" s="39">
        <v>0.026</v>
      </c>
      <c r="E109" s="36" t="s">
        <v>28</v>
      </c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7" t="s">
        <v>13</v>
      </c>
      <c r="B110" s="38">
        <f>IFERROR(__xludf.DUMMYFUNCTION("""COMPUTED_VALUE"""),10.0)</f>
        <v>10</v>
      </c>
      <c r="C110" s="36" t="s">
        <v>33</v>
      </c>
      <c r="D110" s="39">
        <v>0.028</v>
      </c>
      <c r="E110" s="36" t="s">
        <v>28</v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7" t="s">
        <v>14</v>
      </c>
      <c r="B111" s="38">
        <f>IFERROR(__xludf.DUMMYFUNCTION("""COMPUTED_VALUE"""),20.0)</f>
        <v>20</v>
      </c>
      <c r="C111" s="36" t="s">
        <v>33</v>
      </c>
      <c r="D111" s="39">
        <v>0.028</v>
      </c>
      <c r="E111" s="36" t="s">
        <v>28</v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7" t="s">
        <v>15</v>
      </c>
      <c r="B112" s="38">
        <f>IFERROR(__xludf.DUMMYFUNCTION("""COMPUTED_VALUE"""),30.0)</f>
        <v>30</v>
      </c>
      <c r="C112" s="36" t="s">
        <v>33</v>
      </c>
      <c r="D112" s="39">
        <v>0.028</v>
      </c>
      <c r="E112" s="36" t="s">
        <v>28</v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7" t="s">
        <v>16</v>
      </c>
      <c r="B113" s="38">
        <f>IFERROR(__xludf.DUMMYFUNCTION("""COMPUTED_VALUE"""),10.0)</f>
        <v>10</v>
      </c>
      <c r="C113" s="36" t="s">
        <v>33</v>
      </c>
      <c r="D113" s="39">
        <v>0.025</v>
      </c>
      <c r="E113" s="36" t="s">
        <v>28</v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7" t="s">
        <v>17</v>
      </c>
      <c r="B114" s="38">
        <f>IFERROR(__xludf.DUMMYFUNCTION("""COMPUTED_VALUE"""),20.0)</f>
        <v>20</v>
      </c>
      <c r="C114" s="36" t="s">
        <v>33</v>
      </c>
      <c r="D114" s="39">
        <v>0.025</v>
      </c>
      <c r="E114" s="36" t="s">
        <v>28</v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7" t="s">
        <v>18</v>
      </c>
      <c r="B115" s="38">
        <f>IFERROR(__xludf.DUMMYFUNCTION("""COMPUTED_VALUE"""),30.0)</f>
        <v>30</v>
      </c>
      <c r="C115" s="36" t="s">
        <v>33</v>
      </c>
      <c r="D115" s="39">
        <v>0.025</v>
      </c>
      <c r="E115" s="36" t="s">
        <v>28</v>
      </c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7" t="s">
        <v>19</v>
      </c>
      <c r="B116" s="38">
        <f>IFERROR(__xludf.DUMMYFUNCTION("""COMPUTED_VALUE"""),10.0)</f>
        <v>10</v>
      </c>
      <c r="C116" s="36" t="s">
        <v>33</v>
      </c>
      <c r="D116" s="39">
        <v>0.022</v>
      </c>
      <c r="E116" s="36" t="s">
        <v>28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7" t="s">
        <v>20</v>
      </c>
      <c r="B117" s="38">
        <f>IFERROR(__xludf.DUMMYFUNCTION("""COMPUTED_VALUE"""),20.0)</f>
        <v>20</v>
      </c>
      <c r="C117" s="36" t="s">
        <v>33</v>
      </c>
      <c r="D117" s="39">
        <v>0.022</v>
      </c>
      <c r="E117" s="36" t="s">
        <v>28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7" t="s">
        <v>21</v>
      </c>
      <c r="B118" s="38">
        <f>IFERROR(__xludf.DUMMYFUNCTION("""COMPUTED_VALUE"""),30.0)</f>
        <v>30</v>
      </c>
      <c r="C118" s="36" t="s">
        <v>33</v>
      </c>
      <c r="D118" s="39">
        <v>0.022</v>
      </c>
      <c r="E118" s="36" t="s">
        <v>28</v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7" t="s">
        <v>22</v>
      </c>
      <c r="B119" s="38">
        <f>IFERROR(__xludf.DUMMYFUNCTION("""COMPUTED_VALUE"""),10.0)</f>
        <v>10</v>
      </c>
      <c r="C119" s="36" t="s">
        <v>33</v>
      </c>
      <c r="D119" s="39">
        <v>0.175</v>
      </c>
      <c r="E119" s="36" t="s">
        <v>28</v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7" t="s">
        <v>23</v>
      </c>
      <c r="B120" s="38">
        <f>IFERROR(__xludf.DUMMYFUNCTION("""COMPUTED_VALUE"""),20.0)</f>
        <v>20</v>
      </c>
      <c r="C120" s="36" t="s">
        <v>33</v>
      </c>
      <c r="D120" s="39">
        <v>0.175</v>
      </c>
      <c r="E120" s="36" t="s">
        <v>28</v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7" t="s">
        <v>24</v>
      </c>
      <c r="B121" s="38">
        <f>IFERROR(__xludf.DUMMYFUNCTION("""COMPUTED_VALUE"""),30.0)</f>
        <v>30</v>
      </c>
      <c r="C121" s="36" t="s">
        <v>33</v>
      </c>
      <c r="D121" s="39">
        <v>0.175</v>
      </c>
      <c r="E121" s="36" t="s">
        <v>28</v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7" t="s">
        <v>1</v>
      </c>
      <c r="B122" s="38">
        <f>IFERROR(__xludf.DUMMYFUNCTION("""COMPUTED_VALUE"""),10.0)</f>
        <v>10</v>
      </c>
      <c r="C122" s="36" t="s">
        <v>34</v>
      </c>
      <c r="D122" s="39">
        <v>0.031</v>
      </c>
      <c r="E122" s="36" t="s">
        <v>28</v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7" t="s">
        <v>2</v>
      </c>
      <c r="B123" s="38">
        <f>IFERROR(__xludf.DUMMYFUNCTION("""COMPUTED_VALUE"""),20.0)</f>
        <v>20</v>
      </c>
      <c r="C123" s="36" t="s">
        <v>34</v>
      </c>
      <c r="D123" s="39">
        <v>0.031</v>
      </c>
      <c r="E123" s="36" t="s">
        <v>28</v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7" t="s">
        <v>3</v>
      </c>
      <c r="B124" s="38">
        <f>IFERROR(__xludf.DUMMYFUNCTION("""COMPUTED_VALUE"""),30.0)</f>
        <v>30</v>
      </c>
      <c r="C124" s="36" t="s">
        <v>34</v>
      </c>
      <c r="D124" s="39">
        <v>0.031</v>
      </c>
      <c r="E124" s="36" t="s">
        <v>28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7" t="s">
        <v>4</v>
      </c>
      <c r="B125" s="38">
        <f>IFERROR(__xludf.DUMMYFUNCTION("""COMPUTED_VALUE"""),10.0)</f>
        <v>10</v>
      </c>
      <c r="C125" s="36" t="s">
        <v>34</v>
      </c>
      <c r="D125" s="39">
        <v>0.062</v>
      </c>
      <c r="E125" s="36" t="s">
        <v>28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7" t="s">
        <v>5</v>
      </c>
      <c r="B126" s="38">
        <f>IFERROR(__xludf.DUMMYFUNCTION("""COMPUTED_VALUE"""),20.0)</f>
        <v>20</v>
      </c>
      <c r="C126" s="36" t="s">
        <v>34</v>
      </c>
      <c r="D126" s="39">
        <v>0.062</v>
      </c>
      <c r="E126" s="36" t="s">
        <v>28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7" t="s">
        <v>6</v>
      </c>
      <c r="B127" s="38">
        <f>IFERROR(__xludf.DUMMYFUNCTION("""COMPUTED_VALUE"""),30.0)</f>
        <v>30</v>
      </c>
      <c r="C127" s="36" t="s">
        <v>34</v>
      </c>
      <c r="D127" s="39">
        <v>0.062</v>
      </c>
      <c r="E127" s="36" t="s">
        <v>28</v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7" t="s">
        <v>7</v>
      </c>
      <c r="B128" s="38">
        <f>IFERROR(__xludf.DUMMYFUNCTION("""COMPUTED_VALUE"""),10.0)</f>
        <v>10</v>
      </c>
      <c r="C128" s="36" t="s">
        <v>34</v>
      </c>
      <c r="D128" s="39">
        <v>0.037</v>
      </c>
      <c r="E128" s="36" t="s">
        <v>28</v>
      </c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7" t="s">
        <v>8</v>
      </c>
      <c r="B129" s="38">
        <f>IFERROR(__xludf.DUMMYFUNCTION("""COMPUTED_VALUE"""),20.0)</f>
        <v>20</v>
      </c>
      <c r="C129" s="36" t="s">
        <v>34</v>
      </c>
      <c r="D129" s="39">
        <v>0.037</v>
      </c>
      <c r="E129" s="36" t="s">
        <v>28</v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7" t="s">
        <v>9</v>
      </c>
      <c r="B130" s="38">
        <f>IFERROR(__xludf.DUMMYFUNCTION("""COMPUTED_VALUE"""),30.0)</f>
        <v>30</v>
      </c>
      <c r="C130" s="36" t="s">
        <v>34</v>
      </c>
      <c r="D130" s="39">
        <v>0.037</v>
      </c>
      <c r="E130" s="36" t="s">
        <v>28</v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7" t="s">
        <v>10</v>
      </c>
      <c r="B131" s="38">
        <f>IFERROR(__xludf.DUMMYFUNCTION("""COMPUTED_VALUE"""),10.0)</f>
        <v>10</v>
      </c>
      <c r="C131" s="36" t="s">
        <v>34</v>
      </c>
      <c r="D131" s="39">
        <v>0.06</v>
      </c>
      <c r="E131" s="36" t="s">
        <v>28</v>
      </c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7" t="s">
        <v>11</v>
      </c>
      <c r="B132" s="38">
        <f>IFERROR(__xludf.DUMMYFUNCTION("""COMPUTED_VALUE"""),20.0)</f>
        <v>20</v>
      </c>
      <c r="C132" s="36" t="s">
        <v>34</v>
      </c>
      <c r="D132" s="39">
        <v>0.06</v>
      </c>
      <c r="E132" s="36" t="s">
        <v>28</v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7" t="s">
        <v>12</v>
      </c>
      <c r="B133" s="38">
        <f>IFERROR(__xludf.DUMMYFUNCTION("""COMPUTED_VALUE"""),30.0)</f>
        <v>30</v>
      </c>
      <c r="C133" s="36" t="s">
        <v>34</v>
      </c>
      <c r="D133" s="39">
        <v>0.06</v>
      </c>
      <c r="E133" s="36" t="s">
        <v>28</v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7" t="s">
        <v>13</v>
      </c>
      <c r="B134" s="38">
        <f>IFERROR(__xludf.DUMMYFUNCTION("""COMPUTED_VALUE"""),10.0)</f>
        <v>10</v>
      </c>
      <c r="C134" s="36" t="s">
        <v>34</v>
      </c>
      <c r="D134" s="39">
        <v>0.055</v>
      </c>
      <c r="E134" s="36" t="s">
        <v>28</v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7" t="s">
        <v>14</v>
      </c>
      <c r="B135" s="38">
        <f>IFERROR(__xludf.DUMMYFUNCTION("""COMPUTED_VALUE"""),20.0)</f>
        <v>20</v>
      </c>
      <c r="C135" s="36" t="s">
        <v>34</v>
      </c>
      <c r="D135" s="39">
        <v>0.055</v>
      </c>
      <c r="E135" s="36" t="s">
        <v>28</v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7" t="s">
        <v>15</v>
      </c>
      <c r="B136" s="38">
        <f>IFERROR(__xludf.DUMMYFUNCTION("""COMPUTED_VALUE"""),30.0)</f>
        <v>30</v>
      </c>
      <c r="C136" s="36" t="s">
        <v>34</v>
      </c>
      <c r="D136" s="39">
        <v>0.055</v>
      </c>
      <c r="E136" s="36" t="s">
        <v>28</v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7" t="s">
        <v>16</v>
      </c>
      <c r="B137" s="38">
        <f>IFERROR(__xludf.DUMMYFUNCTION("""COMPUTED_VALUE"""),10.0)</f>
        <v>10</v>
      </c>
      <c r="C137" s="36" t="s">
        <v>34</v>
      </c>
      <c r="D137" s="39">
        <v>0.019</v>
      </c>
      <c r="E137" s="36" t="s">
        <v>28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7" t="s">
        <v>17</v>
      </c>
      <c r="B138" s="38">
        <f>IFERROR(__xludf.DUMMYFUNCTION("""COMPUTED_VALUE"""),20.0)</f>
        <v>20</v>
      </c>
      <c r="C138" s="36" t="s">
        <v>34</v>
      </c>
      <c r="D138" s="39">
        <v>0.019</v>
      </c>
      <c r="E138" s="36" t="s">
        <v>28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7" t="s">
        <v>18</v>
      </c>
      <c r="B139" s="38">
        <f>IFERROR(__xludf.DUMMYFUNCTION("""COMPUTED_VALUE"""),30.0)</f>
        <v>30</v>
      </c>
      <c r="C139" s="36" t="s">
        <v>34</v>
      </c>
      <c r="D139" s="39">
        <v>0.019</v>
      </c>
      <c r="E139" s="36" t="s">
        <v>28</v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7" t="s">
        <v>19</v>
      </c>
      <c r="B140" s="38">
        <f>IFERROR(__xludf.DUMMYFUNCTION("""COMPUTED_VALUE"""),10.0)</f>
        <v>10</v>
      </c>
      <c r="C140" s="36" t="s">
        <v>34</v>
      </c>
      <c r="D140" s="39">
        <v>0.018</v>
      </c>
      <c r="E140" s="36" t="s">
        <v>28</v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7" t="s">
        <v>20</v>
      </c>
      <c r="B141" s="38">
        <f>IFERROR(__xludf.DUMMYFUNCTION("""COMPUTED_VALUE"""),20.0)</f>
        <v>20</v>
      </c>
      <c r="C141" s="36" t="s">
        <v>34</v>
      </c>
      <c r="D141" s="39">
        <v>0.018</v>
      </c>
      <c r="E141" s="36" t="s">
        <v>28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7" t="s">
        <v>21</v>
      </c>
      <c r="B142" s="38">
        <f>IFERROR(__xludf.DUMMYFUNCTION("""COMPUTED_VALUE"""),30.0)</f>
        <v>30</v>
      </c>
      <c r="C142" s="36" t="s">
        <v>34</v>
      </c>
      <c r="D142" s="39">
        <v>0.018</v>
      </c>
      <c r="E142" s="36" t="s">
        <v>28</v>
      </c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7" t="s">
        <v>22</v>
      </c>
      <c r="B143" s="38">
        <f>IFERROR(__xludf.DUMMYFUNCTION("""COMPUTED_VALUE"""),10.0)</f>
        <v>10</v>
      </c>
      <c r="C143" s="36" t="s">
        <v>34</v>
      </c>
      <c r="D143" s="39">
        <v>0.047</v>
      </c>
      <c r="E143" s="36" t="s">
        <v>28</v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7" t="s">
        <v>23</v>
      </c>
      <c r="B144" s="38">
        <f>IFERROR(__xludf.DUMMYFUNCTION("""COMPUTED_VALUE"""),20.0)</f>
        <v>20</v>
      </c>
      <c r="C144" s="36" t="s">
        <v>34</v>
      </c>
      <c r="D144" s="39">
        <v>0.047</v>
      </c>
      <c r="E144" s="36" t="s">
        <v>28</v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7" t="s">
        <v>24</v>
      </c>
      <c r="B145" s="38">
        <f>IFERROR(__xludf.DUMMYFUNCTION("""COMPUTED_VALUE"""),30.0)</f>
        <v>30</v>
      </c>
      <c r="C145" s="36" t="s">
        <v>34</v>
      </c>
      <c r="D145" s="39">
        <v>0.047</v>
      </c>
      <c r="E145" s="36" t="s">
        <v>28</v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7" t="s">
        <v>1</v>
      </c>
      <c r="B146" s="38">
        <f>IFERROR(__xludf.DUMMYFUNCTION("""COMPUTED_VALUE"""),10.0)</f>
        <v>10</v>
      </c>
      <c r="C146" s="36" t="s">
        <v>35</v>
      </c>
      <c r="D146" s="39">
        <v>0.011</v>
      </c>
      <c r="E146" s="36" t="s">
        <v>28</v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7" t="s">
        <v>2</v>
      </c>
      <c r="B147" s="38">
        <f>IFERROR(__xludf.DUMMYFUNCTION("""COMPUTED_VALUE"""),20.0)</f>
        <v>20</v>
      </c>
      <c r="C147" s="36" t="s">
        <v>35</v>
      </c>
      <c r="D147" s="39">
        <v>0.011</v>
      </c>
      <c r="E147" s="36" t="s">
        <v>28</v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7" t="s">
        <v>3</v>
      </c>
      <c r="B148" s="38">
        <f>IFERROR(__xludf.DUMMYFUNCTION("""COMPUTED_VALUE"""),30.0)</f>
        <v>30</v>
      </c>
      <c r="C148" s="36" t="s">
        <v>35</v>
      </c>
      <c r="D148" s="39">
        <v>0.011</v>
      </c>
      <c r="E148" s="36" t="s">
        <v>28</v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7" t="s">
        <v>4</v>
      </c>
      <c r="B149" s="38">
        <f>IFERROR(__xludf.DUMMYFUNCTION("""COMPUTED_VALUE"""),10.0)</f>
        <v>10</v>
      </c>
      <c r="C149" s="36" t="s">
        <v>35</v>
      </c>
      <c r="D149" s="39">
        <v>0.08</v>
      </c>
      <c r="E149" s="36" t="s">
        <v>28</v>
      </c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7" t="s">
        <v>5</v>
      </c>
      <c r="B150" s="38">
        <f>IFERROR(__xludf.DUMMYFUNCTION("""COMPUTED_VALUE"""),20.0)</f>
        <v>20</v>
      </c>
      <c r="C150" s="36" t="s">
        <v>35</v>
      </c>
      <c r="D150" s="39">
        <v>0.08</v>
      </c>
      <c r="E150" s="36" t="s">
        <v>28</v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7" t="s">
        <v>6</v>
      </c>
      <c r="B151" s="38">
        <f>IFERROR(__xludf.DUMMYFUNCTION("""COMPUTED_VALUE"""),30.0)</f>
        <v>30</v>
      </c>
      <c r="C151" s="36" t="s">
        <v>35</v>
      </c>
      <c r="D151" s="39">
        <v>0.08</v>
      </c>
      <c r="E151" s="36" t="s">
        <v>28</v>
      </c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7" t="s">
        <v>7</v>
      </c>
      <c r="B152" s="38">
        <f>IFERROR(__xludf.DUMMYFUNCTION("""COMPUTED_VALUE"""),10.0)</f>
        <v>10</v>
      </c>
      <c r="C152" s="36" t="s">
        <v>35</v>
      </c>
      <c r="D152" s="39">
        <v>0.028</v>
      </c>
      <c r="E152" s="36" t="s">
        <v>28</v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7" t="s">
        <v>8</v>
      </c>
      <c r="B153" s="38">
        <f>IFERROR(__xludf.DUMMYFUNCTION("""COMPUTED_VALUE"""),20.0)</f>
        <v>20</v>
      </c>
      <c r="C153" s="36" t="s">
        <v>35</v>
      </c>
      <c r="D153" s="39">
        <v>0.028</v>
      </c>
      <c r="E153" s="36" t="s">
        <v>28</v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7" t="s">
        <v>9</v>
      </c>
      <c r="B154" s="38">
        <f>IFERROR(__xludf.DUMMYFUNCTION("""COMPUTED_VALUE"""),30.0)</f>
        <v>30</v>
      </c>
      <c r="C154" s="36" t="s">
        <v>35</v>
      </c>
      <c r="D154" s="39">
        <v>0.028</v>
      </c>
      <c r="E154" s="36" t="s">
        <v>28</v>
      </c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7" t="s">
        <v>10</v>
      </c>
      <c r="B155" s="38">
        <f>IFERROR(__xludf.DUMMYFUNCTION("""COMPUTED_VALUE"""),10.0)</f>
        <v>10</v>
      </c>
      <c r="C155" s="36" t="s">
        <v>35</v>
      </c>
      <c r="D155" s="39">
        <v>0.057</v>
      </c>
      <c r="E155" s="36" t="s">
        <v>28</v>
      </c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7" t="s">
        <v>11</v>
      </c>
      <c r="B156" s="38">
        <f>IFERROR(__xludf.DUMMYFUNCTION("""COMPUTED_VALUE"""),20.0)</f>
        <v>20</v>
      </c>
      <c r="C156" s="36" t="s">
        <v>35</v>
      </c>
      <c r="D156" s="39">
        <v>0.057</v>
      </c>
      <c r="E156" s="36" t="s">
        <v>28</v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7" t="s">
        <v>12</v>
      </c>
      <c r="B157" s="38">
        <f>IFERROR(__xludf.DUMMYFUNCTION("""COMPUTED_VALUE"""),30.0)</f>
        <v>30</v>
      </c>
      <c r="C157" s="36" t="s">
        <v>35</v>
      </c>
      <c r="D157" s="39">
        <v>0.057</v>
      </c>
      <c r="E157" s="36" t="s">
        <v>28</v>
      </c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7" t="s">
        <v>13</v>
      </c>
      <c r="B158" s="38">
        <f>IFERROR(__xludf.DUMMYFUNCTION("""COMPUTED_VALUE"""),10.0)</f>
        <v>10</v>
      </c>
      <c r="C158" s="36" t="s">
        <v>35</v>
      </c>
      <c r="D158" s="39">
        <v>0.036</v>
      </c>
      <c r="E158" s="36" t="s">
        <v>28</v>
      </c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7" t="s">
        <v>14</v>
      </c>
      <c r="B159" s="38">
        <f>IFERROR(__xludf.DUMMYFUNCTION("""COMPUTED_VALUE"""),20.0)</f>
        <v>20</v>
      </c>
      <c r="C159" s="36" t="s">
        <v>35</v>
      </c>
      <c r="D159" s="39">
        <v>0.036</v>
      </c>
      <c r="E159" s="36" t="s">
        <v>28</v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7" t="s">
        <v>15</v>
      </c>
      <c r="B160" s="38">
        <f>IFERROR(__xludf.DUMMYFUNCTION("""COMPUTED_VALUE"""),30.0)</f>
        <v>30</v>
      </c>
      <c r="C160" s="36" t="s">
        <v>35</v>
      </c>
      <c r="D160" s="39">
        <v>0.036</v>
      </c>
      <c r="E160" s="36" t="s">
        <v>28</v>
      </c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7" t="s">
        <v>16</v>
      </c>
      <c r="B161" s="38">
        <f>IFERROR(__xludf.DUMMYFUNCTION("""COMPUTED_VALUE"""),10.0)</f>
        <v>10</v>
      </c>
      <c r="C161" s="36" t="s">
        <v>35</v>
      </c>
      <c r="D161" s="39">
        <v>0.003</v>
      </c>
      <c r="E161" s="36" t="s">
        <v>28</v>
      </c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7" t="s">
        <v>17</v>
      </c>
      <c r="B162" s="38">
        <f>IFERROR(__xludf.DUMMYFUNCTION("""COMPUTED_VALUE"""),20.0)</f>
        <v>20</v>
      </c>
      <c r="C162" s="36" t="s">
        <v>35</v>
      </c>
      <c r="D162" s="39">
        <v>0.003</v>
      </c>
      <c r="E162" s="36" t="s">
        <v>28</v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7" t="s">
        <v>18</v>
      </c>
      <c r="B163" s="38">
        <f>IFERROR(__xludf.DUMMYFUNCTION("""COMPUTED_VALUE"""),30.0)</f>
        <v>30</v>
      </c>
      <c r="C163" s="36" t="s">
        <v>35</v>
      </c>
      <c r="D163" s="39">
        <v>0.003</v>
      </c>
      <c r="E163" s="36" t="s">
        <v>28</v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7" t="s">
        <v>19</v>
      </c>
      <c r="B164" s="38">
        <f>IFERROR(__xludf.DUMMYFUNCTION("""COMPUTED_VALUE"""),10.0)</f>
        <v>10</v>
      </c>
      <c r="C164" s="36" t="s">
        <v>35</v>
      </c>
      <c r="D164" s="39">
        <v>0.004</v>
      </c>
      <c r="E164" s="36" t="s">
        <v>28</v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7" t="s">
        <v>20</v>
      </c>
      <c r="B165" s="38">
        <f>IFERROR(__xludf.DUMMYFUNCTION("""COMPUTED_VALUE"""),20.0)</f>
        <v>20</v>
      </c>
      <c r="C165" s="36" t="s">
        <v>35</v>
      </c>
      <c r="D165" s="39">
        <v>0.004</v>
      </c>
      <c r="E165" s="36" t="s">
        <v>28</v>
      </c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7" t="s">
        <v>21</v>
      </c>
      <c r="B166" s="38">
        <f>IFERROR(__xludf.DUMMYFUNCTION("""COMPUTED_VALUE"""),30.0)</f>
        <v>30</v>
      </c>
      <c r="C166" s="36" t="s">
        <v>35</v>
      </c>
      <c r="D166" s="39">
        <v>0.004</v>
      </c>
      <c r="E166" s="36" t="s">
        <v>28</v>
      </c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7" t="s">
        <v>22</v>
      </c>
      <c r="B167" s="38">
        <f>IFERROR(__xludf.DUMMYFUNCTION("""COMPUTED_VALUE"""),10.0)</f>
        <v>10</v>
      </c>
      <c r="C167" s="36" t="s">
        <v>35</v>
      </c>
      <c r="D167" s="39">
        <v>0.198</v>
      </c>
      <c r="E167" s="36" t="s">
        <v>28</v>
      </c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7" t="s">
        <v>23</v>
      </c>
      <c r="B168" s="38">
        <f>IFERROR(__xludf.DUMMYFUNCTION("""COMPUTED_VALUE"""),20.0)</f>
        <v>20</v>
      </c>
      <c r="C168" s="36" t="s">
        <v>35</v>
      </c>
      <c r="D168" s="39">
        <v>0.198</v>
      </c>
      <c r="E168" s="36" t="s">
        <v>28</v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7" t="s">
        <v>24</v>
      </c>
      <c r="B169" s="38">
        <f>IFERROR(__xludf.DUMMYFUNCTION("""COMPUTED_VALUE"""),30.0)</f>
        <v>30</v>
      </c>
      <c r="C169" s="36" t="s">
        <v>35</v>
      </c>
      <c r="D169" s="39">
        <v>0.198</v>
      </c>
      <c r="E169" s="36" t="s">
        <v>28</v>
      </c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7" t="s">
        <v>1</v>
      </c>
      <c r="B170" s="38">
        <f>IFERROR(__xludf.DUMMYFUNCTION("""COMPUTED_VALUE"""),10.0)</f>
        <v>10</v>
      </c>
      <c r="C170" s="36" t="s">
        <v>36</v>
      </c>
      <c r="D170" s="39">
        <v>0.213</v>
      </c>
      <c r="E170" s="36" t="s">
        <v>28</v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7" t="s">
        <v>2</v>
      </c>
      <c r="B171" s="38">
        <f>IFERROR(__xludf.DUMMYFUNCTION("""COMPUTED_VALUE"""),20.0)</f>
        <v>20</v>
      </c>
      <c r="C171" s="36" t="s">
        <v>36</v>
      </c>
      <c r="D171" s="39">
        <v>0.213</v>
      </c>
      <c r="E171" s="36" t="s">
        <v>28</v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7" t="s">
        <v>3</v>
      </c>
      <c r="B172" s="38">
        <f>IFERROR(__xludf.DUMMYFUNCTION("""COMPUTED_VALUE"""),30.0)</f>
        <v>30</v>
      </c>
      <c r="C172" s="36" t="s">
        <v>36</v>
      </c>
      <c r="D172" s="39">
        <v>0.213</v>
      </c>
      <c r="E172" s="36" t="s">
        <v>28</v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7" t="s">
        <v>4</v>
      </c>
      <c r="B173" s="38">
        <f>IFERROR(__xludf.DUMMYFUNCTION("""COMPUTED_VALUE"""),10.0)</f>
        <v>10</v>
      </c>
      <c r="C173" s="36" t="s">
        <v>36</v>
      </c>
      <c r="D173" s="39">
        <v>0.315</v>
      </c>
      <c r="E173" s="36" t="s">
        <v>28</v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7" t="s">
        <v>5</v>
      </c>
      <c r="B174" s="38">
        <f>IFERROR(__xludf.DUMMYFUNCTION("""COMPUTED_VALUE"""),20.0)</f>
        <v>20</v>
      </c>
      <c r="C174" s="36" t="s">
        <v>36</v>
      </c>
      <c r="D174" s="39">
        <v>0.315</v>
      </c>
      <c r="E174" s="36" t="s">
        <v>28</v>
      </c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7" t="s">
        <v>6</v>
      </c>
      <c r="B175" s="38">
        <f>IFERROR(__xludf.DUMMYFUNCTION("""COMPUTED_VALUE"""),30.0)</f>
        <v>30</v>
      </c>
      <c r="C175" s="36" t="s">
        <v>36</v>
      </c>
      <c r="D175" s="39">
        <v>0.315</v>
      </c>
      <c r="E175" s="36" t="s">
        <v>28</v>
      </c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7" t="s">
        <v>7</v>
      </c>
      <c r="B176" s="38">
        <f>IFERROR(__xludf.DUMMYFUNCTION("""COMPUTED_VALUE"""),10.0)</f>
        <v>10</v>
      </c>
      <c r="C176" s="36" t="s">
        <v>36</v>
      </c>
      <c r="D176" s="39">
        <v>0.147</v>
      </c>
      <c r="E176" s="36" t="s">
        <v>28</v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7" t="s">
        <v>8</v>
      </c>
      <c r="B177" s="38">
        <f>IFERROR(__xludf.DUMMYFUNCTION("""COMPUTED_VALUE"""),20.0)</f>
        <v>20</v>
      </c>
      <c r="C177" s="36" t="s">
        <v>36</v>
      </c>
      <c r="D177" s="39">
        <v>0.147</v>
      </c>
      <c r="E177" s="36" t="s">
        <v>28</v>
      </c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7" t="s">
        <v>9</v>
      </c>
      <c r="B178" s="38">
        <f>IFERROR(__xludf.DUMMYFUNCTION("""COMPUTED_VALUE"""),30.0)</f>
        <v>30</v>
      </c>
      <c r="C178" s="36" t="s">
        <v>36</v>
      </c>
      <c r="D178" s="39">
        <v>0.147</v>
      </c>
      <c r="E178" s="36" t="s">
        <v>28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7" t="s">
        <v>10</v>
      </c>
      <c r="B179" s="38">
        <f>IFERROR(__xludf.DUMMYFUNCTION("""COMPUTED_VALUE"""),10.0)</f>
        <v>10</v>
      </c>
      <c r="C179" s="36" t="s">
        <v>36</v>
      </c>
      <c r="D179" s="39">
        <v>0.254</v>
      </c>
      <c r="E179" s="36" t="s">
        <v>28</v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7" t="s">
        <v>11</v>
      </c>
      <c r="B180" s="38">
        <f>IFERROR(__xludf.DUMMYFUNCTION("""COMPUTED_VALUE"""),20.0)</f>
        <v>20</v>
      </c>
      <c r="C180" s="36" t="s">
        <v>36</v>
      </c>
      <c r="D180" s="39">
        <v>0.254</v>
      </c>
      <c r="E180" s="36" t="s">
        <v>28</v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7" t="s">
        <v>12</v>
      </c>
      <c r="B181" s="38">
        <f>IFERROR(__xludf.DUMMYFUNCTION("""COMPUTED_VALUE"""),30.0)</f>
        <v>30</v>
      </c>
      <c r="C181" s="36" t="s">
        <v>36</v>
      </c>
      <c r="D181" s="39">
        <v>0.254</v>
      </c>
      <c r="E181" s="36" t="s">
        <v>28</v>
      </c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7" t="s">
        <v>13</v>
      </c>
      <c r="B182" s="38">
        <f>IFERROR(__xludf.DUMMYFUNCTION("""COMPUTED_VALUE"""),10.0)</f>
        <v>10</v>
      </c>
      <c r="C182" s="36" t="s">
        <v>36</v>
      </c>
      <c r="D182" s="39">
        <v>0.268</v>
      </c>
      <c r="E182" s="36" t="s">
        <v>28</v>
      </c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7" t="s">
        <v>14</v>
      </c>
      <c r="B183" s="38">
        <f>IFERROR(__xludf.DUMMYFUNCTION("""COMPUTED_VALUE"""),20.0)</f>
        <v>20</v>
      </c>
      <c r="C183" s="36" t="s">
        <v>36</v>
      </c>
      <c r="D183" s="39">
        <v>0.268</v>
      </c>
      <c r="E183" s="36" t="s">
        <v>28</v>
      </c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7" t="s">
        <v>15</v>
      </c>
      <c r="B184" s="38">
        <f>IFERROR(__xludf.DUMMYFUNCTION("""COMPUTED_VALUE"""),30.0)</f>
        <v>30</v>
      </c>
      <c r="C184" s="36" t="s">
        <v>36</v>
      </c>
      <c r="D184" s="39">
        <v>0.268</v>
      </c>
      <c r="E184" s="36" t="s">
        <v>28</v>
      </c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7" t="s">
        <v>16</v>
      </c>
      <c r="B185" s="38">
        <f>IFERROR(__xludf.DUMMYFUNCTION("""COMPUTED_VALUE"""),10.0)</f>
        <v>10</v>
      </c>
      <c r="C185" s="36" t="s">
        <v>36</v>
      </c>
      <c r="D185" s="39">
        <v>0.211</v>
      </c>
      <c r="E185" s="36" t="s">
        <v>28</v>
      </c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7" t="s">
        <v>17</v>
      </c>
      <c r="B186" s="38">
        <f>IFERROR(__xludf.DUMMYFUNCTION("""COMPUTED_VALUE"""),20.0)</f>
        <v>20</v>
      </c>
      <c r="C186" s="36" t="s">
        <v>36</v>
      </c>
      <c r="D186" s="39">
        <v>0.211</v>
      </c>
      <c r="E186" s="36" t="s">
        <v>28</v>
      </c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7" t="s">
        <v>18</v>
      </c>
      <c r="B187" s="38">
        <f>IFERROR(__xludf.DUMMYFUNCTION("""COMPUTED_VALUE"""),30.0)</f>
        <v>30</v>
      </c>
      <c r="C187" s="36" t="s">
        <v>36</v>
      </c>
      <c r="D187" s="39">
        <v>0.211</v>
      </c>
      <c r="E187" s="36" t="s">
        <v>28</v>
      </c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7" t="s">
        <v>19</v>
      </c>
      <c r="B188" s="38">
        <f>IFERROR(__xludf.DUMMYFUNCTION("""COMPUTED_VALUE"""),10.0)</f>
        <v>10</v>
      </c>
      <c r="C188" s="36" t="s">
        <v>36</v>
      </c>
      <c r="D188" s="39">
        <v>0.182</v>
      </c>
      <c r="E188" s="36" t="s">
        <v>28</v>
      </c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7" t="s">
        <v>20</v>
      </c>
      <c r="B189" s="38">
        <f>IFERROR(__xludf.DUMMYFUNCTION("""COMPUTED_VALUE"""),20.0)</f>
        <v>20</v>
      </c>
      <c r="C189" s="36" t="s">
        <v>36</v>
      </c>
      <c r="D189" s="39">
        <v>0.182</v>
      </c>
      <c r="E189" s="36" t="s">
        <v>28</v>
      </c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7" t="s">
        <v>21</v>
      </c>
      <c r="B190" s="38">
        <f>IFERROR(__xludf.DUMMYFUNCTION("""COMPUTED_VALUE"""),30.0)</f>
        <v>30</v>
      </c>
      <c r="C190" s="36" t="s">
        <v>36</v>
      </c>
      <c r="D190" s="39">
        <v>0.182</v>
      </c>
      <c r="E190" s="36" t="s">
        <v>28</v>
      </c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7" t="s">
        <v>22</v>
      </c>
      <c r="B191" s="38">
        <f>IFERROR(__xludf.DUMMYFUNCTION("""COMPUTED_VALUE"""),10.0)</f>
        <v>10</v>
      </c>
      <c r="C191" s="36" t="s">
        <v>36</v>
      </c>
      <c r="D191" s="39">
        <v>0.382</v>
      </c>
      <c r="E191" s="36" t="s">
        <v>28</v>
      </c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7" t="s">
        <v>23</v>
      </c>
      <c r="B192" s="38">
        <f>IFERROR(__xludf.DUMMYFUNCTION("""COMPUTED_VALUE"""),20.0)</f>
        <v>20</v>
      </c>
      <c r="C192" s="36" t="s">
        <v>36</v>
      </c>
      <c r="D192" s="39">
        <v>0.382</v>
      </c>
      <c r="E192" s="36" t="s">
        <v>28</v>
      </c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7" t="s">
        <v>24</v>
      </c>
      <c r="B193" s="38">
        <f>IFERROR(__xludf.DUMMYFUNCTION("""COMPUTED_VALUE"""),30.0)</f>
        <v>30</v>
      </c>
      <c r="C193" s="36" t="s">
        <v>36</v>
      </c>
      <c r="D193" s="39">
        <v>0.382</v>
      </c>
      <c r="E193" s="36" t="s">
        <v>28</v>
      </c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7" t="s">
        <v>1</v>
      </c>
      <c r="B194" s="38">
        <f>IFERROR(__xludf.DUMMYFUNCTION("""COMPUTED_VALUE"""),10.0)</f>
        <v>10</v>
      </c>
      <c r="C194" s="36" t="s">
        <v>37</v>
      </c>
      <c r="D194" s="39">
        <v>0.19</v>
      </c>
      <c r="E194" s="36" t="s">
        <v>28</v>
      </c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7" t="s">
        <v>2</v>
      </c>
      <c r="B195" s="38">
        <f>IFERROR(__xludf.DUMMYFUNCTION("""COMPUTED_VALUE"""),20.0)</f>
        <v>20</v>
      </c>
      <c r="C195" s="36" t="s">
        <v>37</v>
      </c>
      <c r="D195" s="39">
        <v>0.19</v>
      </c>
      <c r="E195" s="36" t="s">
        <v>28</v>
      </c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7" t="s">
        <v>3</v>
      </c>
      <c r="B196" s="38">
        <f>IFERROR(__xludf.DUMMYFUNCTION("""COMPUTED_VALUE"""),30.0)</f>
        <v>30</v>
      </c>
      <c r="C196" s="36" t="s">
        <v>37</v>
      </c>
      <c r="D196" s="39">
        <v>0.19</v>
      </c>
      <c r="E196" s="36" t="s">
        <v>28</v>
      </c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7" t="s">
        <v>4</v>
      </c>
      <c r="B197" s="38">
        <f>IFERROR(__xludf.DUMMYFUNCTION("""COMPUTED_VALUE"""),10.0)</f>
        <v>10</v>
      </c>
      <c r="C197" s="36" t="s">
        <v>37</v>
      </c>
      <c r="D197" s="39">
        <v>0.21</v>
      </c>
      <c r="E197" s="36" t="s">
        <v>28</v>
      </c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7" t="s">
        <v>5</v>
      </c>
      <c r="B198" s="38">
        <f>IFERROR(__xludf.DUMMYFUNCTION("""COMPUTED_VALUE"""),20.0)</f>
        <v>20</v>
      </c>
      <c r="C198" s="36" t="s">
        <v>37</v>
      </c>
      <c r="D198" s="39">
        <v>0.21</v>
      </c>
      <c r="E198" s="36" t="s">
        <v>28</v>
      </c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7" t="s">
        <v>6</v>
      </c>
      <c r="B199" s="38">
        <f>IFERROR(__xludf.DUMMYFUNCTION("""COMPUTED_VALUE"""),30.0)</f>
        <v>30</v>
      </c>
      <c r="C199" s="36" t="s">
        <v>37</v>
      </c>
      <c r="D199" s="39">
        <v>0.21</v>
      </c>
      <c r="E199" s="36" t="s">
        <v>28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7" t="s">
        <v>7</v>
      </c>
      <c r="B200" s="38">
        <f>IFERROR(__xludf.DUMMYFUNCTION("""COMPUTED_VALUE"""),10.0)</f>
        <v>10</v>
      </c>
      <c r="C200" s="36" t="s">
        <v>37</v>
      </c>
      <c r="D200" s="39">
        <v>0.124</v>
      </c>
      <c r="E200" s="36" t="s">
        <v>28</v>
      </c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7" t="s">
        <v>8</v>
      </c>
      <c r="B201" s="38">
        <f>IFERROR(__xludf.DUMMYFUNCTION("""COMPUTED_VALUE"""),20.0)</f>
        <v>20</v>
      </c>
      <c r="C201" s="36" t="s">
        <v>37</v>
      </c>
      <c r="D201" s="39">
        <v>0.124</v>
      </c>
      <c r="E201" s="36" t="s">
        <v>28</v>
      </c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7" t="s">
        <v>9</v>
      </c>
      <c r="B202" s="38">
        <f>IFERROR(__xludf.DUMMYFUNCTION("""COMPUTED_VALUE"""),30.0)</f>
        <v>30</v>
      </c>
      <c r="C202" s="36" t="s">
        <v>37</v>
      </c>
      <c r="D202" s="39">
        <v>0.124</v>
      </c>
      <c r="E202" s="36" t="s">
        <v>28</v>
      </c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7" t="s">
        <v>10</v>
      </c>
      <c r="B203" s="38">
        <f>IFERROR(__xludf.DUMMYFUNCTION("""COMPUTED_VALUE"""),10.0)</f>
        <v>10</v>
      </c>
      <c r="C203" s="36" t="s">
        <v>37</v>
      </c>
      <c r="D203" s="39">
        <v>0.222</v>
      </c>
      <c r="E203" s="36" t="s">
        <v>28</v>
      </c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7" t="s">
        <v>11</v>
      </c>
      <c r="B204" s="38">
        <f>IFERROR(__xludf.DUMMYFUNCTION("""COMPUTED_VALUE"""),20.0)</f>
        <v>20</v>
      </c>
      <c r="C204" s="36" t="s">
        <v>37</v>
      </c>
      <c r="D204" s="39">
        <v>0.222</v>
      </c>
      <c r="E204" s="36" t="s">
        <v>28</v>
      </c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7" t="s">
        <v>12</v>
      </c>
      <c r="B205" s="38">
        <f>IFERROR(__xludf.DUMMYFUNCTION("""COMPUTED_VALUE"""),30.0)</f>
        <v>30</v>
      </c>
      <c r="C205" s="36" t="s">
        <v>37</v>
      </c>
      <c r="D205" s="39">
        <v>0.222</v>
      </c>
      <c r="E205" s="36" t="s">
        <v>28</v>
      </c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7" t="s">
        <v>13</v>
      </c>
      <c r="B206" s="38">
        <f>IFERROR(__xludf.DUMMYFUNCTION("""COMPUTED_VALUE"""),10.0)</f>
        <v>10</v>
      </c>
      <c r="C206" s="36" t="s">
        <v>37</v>
      </c>
      <c r="D206" s="39">
        <v>0.18</v>
      </c>
      <c r="E206" s="36" t="s">
        <v>28</v>
      </c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7" t="s">
        <v>14</v>
      </c>
      <c r="B207" s="38">
        <f>IFERROR(__xludf.DUMMYFUNCTION("""COMPUTED_VALUE"""),20.0)</f>
        <v>20</v>
      </c>
      <c r="C207" s="36" t="s">
        <v>37</v>
      </c>
      <c r="D207" s="39">
        <v>0.18</v>
      </c>
      <c r="E207" s="36" t="s">
        <v>28</v>
      </c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7" t="s">
        <v>15</v>
      </c>
      <c r="B208" s="38">
        <f>IFERROR(__xludf.DUMMYFUNCTION("""COMPUTED_VALUE"""),30.0)</f>
        <v>30</v>
      </c>
      <c r="C208" s="36" t="s">
        <v>37</v>
      </c>
      <c r="D208" s="39">
        <v>0.18</v>
      </c>
      <c r="E208" s="36" t="s">
        <v>28</v>
      </c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7" t="s">
        <v>16</v>
      </c>
      <c r="B209" s="38">
        <f>IFERROR(__xludf.DUMMYFUNCTION("""COMPUTED_VALUE"""),10.0)</f>
        <v>10</v>
      </c>
      <c r="C209" s="36" t="s">
        <v>37</v>
      </c>
      <c r="D209" s="39">
        <v>0.235</v>
      </c>
      <c r="E209" s="36" t="s">
        <v>28</v>
      </c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7" t="s">
        <v>17</v>
      </c>
      <c r="B210" s="38">
        <f>IFERROR(__xludf.DUMMYFUNCTION("""COMPUTED_VALUE"""),20.0)</f>
        <v>20</v>
      </c>
      <c r="C210" s="36" t="s">
        <v>37</v>
      </c>
      <c r="D210" s="39">
        <v>0.235</v>
      </c>
      <c r="E210" s="36" t="s">
        <v>28</v>
      </c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7" t="s">
        <v>18</v>
      </c>
      <c r="B211" s="38">
        <f>IFERROR(__xludf.DUMMYFUNCTION("""COMPUTED_VALUE"""),30.0)</f>
        <v>30</v>
      </c>
      <c r="C211" s="36" t="s">
        <v>37</v>
      </c>
      <c r="D211" s="39">
        <v>0.235</v>
      </c>
      <c r="E211" s="36" t="s">
        <v>28</v>
      </c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7" t="s">
        <v>19</v>
      </c>
      <c r="B212" s="38">
        <f>IFERROR(__xludf.DUMMYFUNCTION("""COMPUTED_VALUE"""),10.0)</f>
        <v>10</v>
      </c>
      <c r="C212" s="36" t="s">
        <v>37</v>
      </c>
      <c r="D212" s="39">
        <v>0.499</v>
      </c>
      <c r="E212" s="36" t="s">
        <v>28</v>
      </c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7" t="s">
        <v>20</v>
      </c>
      <c r="B213" s="38">
        <f>IFERROR(__xludf.DUMMYFUNCTION("""COMPUTED_VALUE"""),20.0)</f>
        <v>20</v>
      </c>
      <c r="C213" s="36" t="s">
        <v>37</v>
      </c>
      <c r="D213" s="39">
        <v>0.499</v>
      </c>
      <c r="E213" s="36" t="s">
        <v>28</v>
      </c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7" t="s">
        <v>21</v>
      </c>
      <c r="B214" s="38">
        <f>IFERROR(__xludf.DUMMYFUNCTION("""COMPUTED_VALUE"""),30.0)</f>
        <v>30</v>
      </c>
      <c r="C214" s="36" t="s">
        <v>37</v>
      </c>
      <c r="D214" s="39">
        <v>0.499</v>
      </c>
      <c r="E214" s="36" t="s">
        <v>28</v>
      </c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7" t="s">
        <v>22</v>
      </c>
      <c r="B215" s="38">
        <f>IFERROR(__xludf.DUMMYFUNCTION("""COMPUTED_VALUE"""),10.0)</f>
        <v>10</v>
      </c>
      <c r="C215" s="36" t="s">
        <v>37</v>
      </c>
      <c r="D215" s="39">
        <v>0.149</v>
      </c>
      <c r="E215" s="36" t="s">
        <v>28</v>
      </c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7" t="s">
        <v>23</v>
      </c>
      <c r="B216" s="38">
        <f>IFERROR(__xludf.DUMMYFUNCTION("""COMPUTED_VALUE"""),20.0)</f>
        <v>20</v>
      </c>
      <c r="C216" s="36" t="s">
        <v>37</v>
      </c>
      <c r="D216" s="39">
        <v>0.149</v>
      </c>
      <c r="E216" s="36" t="s">
        <v>28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7" t="s">
        <v>24</v>
      </c>
      <c r="B217" s="38">
        <f>IFERROR(__xludf.DUMMYFUNCTION("""COMPUTED_VALUE"""),30.0)</f>
        <v>30</v>
      </c>
      <c r="C217" s="36" t="s">
        <v>37</v>
      </c>
      <c r="D217" s="39">
        <v>0.149</v>
      </c>
      <c r="E217" s="36" t="s">
        <v>28</v>
      </c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7" t="s">
        <v>1</v>
      </c>
      <c r="B218" s="38">
        <f>IFERROR(__xludf.DUMMYFUNCTION("""COMPUTED_VALUE"""),10.0)</f>
        <v>10</v>
      </c>
      <c r="C218" s="36" t="s">
        <v>38</v>
      </c>
      <c r="D218" s="39">
        <v>0.002</v>
      </c>
      <c r="E218" s="36" t="s">
        <v>28</v>
      </c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7" t="s">
        <v>2</v>
      </c>
      <c r="B219" s="38">
        <f>IFERROR(__xludf.DUMMYFUNCTION("""COMPUTED_VALUE"""),20.0)</f>
        <v>20</v>
      </c>
      <c r="C219" s="36" t="s">
        <v>38</v>
      </c>
      <c r="D219" s="39">
        <v>0.002</v>
      </c>
      <c r="E219" s="36" t="s">
        <v>28</v>
      </c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7" t="s">
        <v>3</v>
      </c>
      <c r="B220" s="38">
        <f>IFERROR(__xludf.DUMMYFUNCTION("""COMPUTED_VALUE"""),30.0)</f>
        <v>30</v>
      </c>
      <c r="C220" s="36" t="s">
        <v>38</v>
      </c>
      <c r="D220" s="39">
        <v>0.002</v>
      </c>
      <c r="E220" s="36" t="s">
        <v>28</v>
      </c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7" t="s">
        <v>4</v>
      </c>
      <c r="B221" s="38">
        <f>IFERROR(__xludf.DUMMYFUNCTION("""COMPUTED_VALUE"""),10.0)</f>
        <v>10</v>
      </c>
      <c r="C221" s="36" t="s">
        <v>38</v>
      </c>
      <c r="D221" s="39">
        <v>0.0</v>
      </c>
      <c r="E221" s="36" t="s">
        <v>28</v>
      </c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7" t="s">
        <v>5</v>
      </c>
      <c r="B222" s="38">
        <f>IFERROR(__xludf.DUMMYFUNCTION("""COMPUTED_VALUE"""),20.0)</f>
        <v>20</v>
      </c>
      <c r="C222" s="36" t="s">
        <v>38</v>
      </c>
      <c r="D222" s="39">
        <v>0.0</v>
      </c>
      <c r="E222" s="36" t="s">
        <v>28</v>
      </c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7" t="s">
        <v>6</v>
      </c>
      <c r="B223" s="38">
        <f>IFERROR(__xludf.DUMMYFUNCTION("""COMPUTED_VALUE"""),30.0)</f>
        <v>30</v>
      </c>
      <c r="C223" s="36" t="s">
        <v>38</v>
      </c>
      <c r="D223" s="39">
        <v>0.0</v>
      </c>
      <c r="E223" s="36" t="s">
        <v>28</v>
      </c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7" t="s">
        <v>7</v>
      </c>
      <c r="B224" s="38">
        <f>IFERROR(__xludf.DUMMYFUNCTION("""COMPUTED_VALUE"""),10.0)</f>
        <v>10</v>
      </c>
      <c r="C224" s="36" t="s">
        <v>38</v>
      </c>
      <c r="D224" s="39">
        <v>0.001</v>
      </c>
      <c r="E224" s="36" t="s">
        <v>28</v>
      </c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7" t="s">
        <v>8</v>
      </c>
      <c r="B225" s="38">
        <f>IFERROR(__xludf.DUMMYFUNCTION("""COMPUTED_VALUE"""),20.0)</f>
        <v>20</v>
      </c>
      <c r="C225" s="36" t="s">
        <v>38</v>
      </c>
      <c r="D225" s="39">
        <v>0.001</v>
      </c>
      <c r="E225" s="36" t="s">
        <v>28</v>
      </c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7" t="s">
        <v>9</v>
      </c>
      <c r="B226" s="38">
        <f>IFERROR(__xludf.DUMMYFUNCTION("""COMPUTED_VALUE"""),30.0)</f>
        <v>30</v>
      </c>
      <c r="C226" s="36" t="s">
        <v>38</v>
      </c>
      <c r="D226" s="39">
        <v>0.001</v>
      </c>
      <c r="E226" s="36" t="s">
        <v>28</v>
      </c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7" t="s">
        <v>10</v>
      </c>
      <c r="B227" s="38">
        <f>IFERROR(__xludf.DUMMYFUNCTION("""COMPUTED_VALUE"""),10.0)</f>
        <v>10</v>
      </c>
      <c r="C227" s="36" t="s">
        <v>38</v>
      </c>
      <c r="D227" s="39">
        <v>0.001</v>
      </c>
      <c r="E227" s="36" t="s">
        <v>28</v>
      </c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7" t="s">
        <v>11</v>
      </c>
      <c r="B228" s="38">
        <f>IFERROR(__xludf.DUMMYFUNCTION("""COMPUTED_VALUE"""),20.0)</f>
        <v>20</v>
      </c>
      <c r="C228" s="36" t="s">
        <v>38</v>
      </c>
      <c r="D228" s="39">
        <v>0.001</v>
      </c>
      <c r="E228" s="36" t="s">
        <v>28</v>
      </c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7" t="s">
        <v>12</v>
      </c>
      <c r="B229" s="38">
        <f>IFERROR(__xludf.DUMMYFUNCTION("""COMPUTED_VALUE"""),30.0)</f>
        <v>30</v>
      </c>
      <c r="C229" s="36" t="s">
        <v>38</v>
      </c>
      <c r="D229" s="39">
        <v>0.001</v>
      </c>
      <c r="E229" s="36" t="s">
        <v>28</v>
      </c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7" t="s">
        <v>13</v>
      </c>
      <c r="B230" s="38">
        <f>IFERROR(__xludf.DUMMYFUNCTION("""COMPUTED_VALUE"""),10.0)</f>
        <v>10</v>
      </c>
      <c r="C230" s="36" t="s">
        <v>38</v>
      </c>
      <c r="D230" s="39">
        <v>0.004</v>
      </c>
      <c r="E230" s="36" t="s">
        <v>28</v>
      </c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7" t="s">
        <v>14</v>
      </c>
      <c r="B231" s="38">
        <f>IFERROR(__xludf.DUMMYFUNCTION("""COMPUTED_VALUE"""),20.0)</f>
        <v>20</v>
      </c>
      <c r="C231" s="36" t="s">
        <v>38</v>
      </c>
      <c r="D231" s="39">
        <v>0.004</v>
      </c>
      <c r="E231" s="36" t="s">
        <v>28</v>
      </c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7" t="s">
        <v>15</v>
      </c>
      <c r="B232" s="38">
        <f>IFERROR(__xludf.DUMMYFUNCTION("""COMPUTED_VALUE"""),30.0)</f>
        <v>30</v>
      </c>
      <c r="C232" s="36" t="s">
        <v>38</v>
      </c>
      <c r="D232" s="39">
        <v>0.004</v>
      </c>
      <c r="E232" s="36" t="s">
        <v>28</v>
      </c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7" t="s">
        <v>16</v>
      </c>
      <c r="B233" s="38">
        <f>IFERROR(__xludf.DUMMYFUNCTION("""COMPUTED_VALUE"""),10.0)</f>
        <v>10</v>
      </c>
      <c r="C233" s="36" t="s">
        <v>38</v>
      </c>
      <c r="D233" s="39">
        <v>0.002</v>
      </c>
      <c r="E233" s="36" t="s">
        <v>28</v>
      </c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7" t="s">
        <v>17</v>
      </c>
      <c r="B234" s="38">
        <f>IFERROR(__xludf.DUMMYFUNCTION("""COMPUTED_VALUE"""),20.0)</f>
        <v>20</v>
      </c>
      <c r="C234" s="36" t="s">
        <v>38</v>
      </c>
      <c r="D234" s="39">
        <v>0.002</v>
      </c>
      <c r="E234" s="36" t="s">
        <v>28</v>
      </c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7" t="s">
        <v>18</v>
      </c>
      <c r="B235" s="38">
        <f>IFERROR(__xludf.DUMMYFUNCTION("""COMPUTED_VALUE"""),30.0)</f>
        <v>30</v>
      </c>
      <c r="C235" s="36" t="s">
        <v>38</v>
      </c>
      <c r="D235" s="39">
        <v>0.002</v>
      </c>
      <c r="E235" s="36" t="s">
        <v>28</v>
      </c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7" t="s">
        <v>19</v>
      </c>
      <c r="B236" s="38">
        <f>IFERROR(__xludf.DUMMYFUNCTION("""COMPUTED_VALUE"""),10.0)</f>
        <v>10</v>
      </c>
      <c r="C236" s="36" t="s">
        <v>38</v>
      </c>
      <c r="D236" s="39">
        <v>0.001</v>
      </c>
      <c r="E236" s="36" t="s">
        <v>28</v>
      </c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7" t="s">
        <v>20</v>
      </c>
      <c r="B237" s="38">
        <f>IFERROR(__xludf.DUMMYFUNCTION("""COMPUTED_VALUE"""),20.0)</f>
        <v>20</v>
      </c>
      <c r="C237" s="36" t="s">
        <v>38</v>
      </c>
      <c r="D237" s="39">
        <v>0.001</v>
      </c>
      <c r="E237" s="36" t="s">
        <v>28</v>
      </c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7" t="s">
        <v>21</v>
      </c>
      <c r="B238" s="38">
        <f>IFERROR(__xludf.DUMMYFUNCTION("""COMPUTED_VALUE"""),30.0)</f>
        <v>30</v>
      </c>
      <c r="C238" s="36" t="s">
        <v>38</v>
      </c>
      <c r="D238" s="39">
        <v>0.001</v>
      </c>
      <c r="E238" s="36" t="s">
        <v>28</v>
      </c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7" t="s">
        <v>22</v>
      </c>
      <c r="B239" s="38">
        <f>IFERROR(__xludf.DUMMYFUNCTION("""COMPUTED_VALUE"""),10.0)</f>
        <v>10</v>
      </c>
      <c r="C239" s="36" t="s">
        <v>38</v>
      </c>
      <c r="D239" s="39">
        <v>0.0</v>
      </c>
      <c r="E239" s="36" t="s">
        <v>28</v>
      </c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7" t="s">
        <v>23</v>
      </c>
      <c r="B240" s="38">
        <f>IFERROR(__xludf.DUMMYFUNCTION("""COMPUTED_VALUE"""),20.0)</f>
        <v>20</v>
      </c>
      <c r="C240" s="36" t="s">
        <v>38</v>
      </c>
      <c r="D240" s="39">
        <v>0.0</v>
      </c>
      <c r="E240" s="36" t="s">
        <v>28</v>
      </c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7" t="s">
        <v>24</v>
      </c>
      <c r="B241" s="38">
        <f>IFERROR(__xludf.DUMMYFUNCTION("""COMPUTED_VALUE"""),30.0)</f>
        <v>30</v>
      </c>
      <c r="C241" s="36" t="s">
        <v>38</v>
      </c>
      <c r="D241" s="39">
        <v>0.0</v>
      </c>
      <c r="E241" s="36" t="s">
        <v>28</v>
      </c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7" t="s">
        <v>1</v>
      </c>
      <c r="B242" s="38">
        <f>IFERROR(__xludf.DUMMYFUNCTION("""COMPUTED_VALUE"""),10.0)</f>
        <v>10</v>
      </c>
      <c r="C242" s="36" t="s">
        <v>39</v>
      </c>
      <c r="D242" s="39">
        <v>0.019</v>
      </c>
      <c r="E242" s="36" t="s">
        <v>28</v>
      </c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7" t="s">
        <v>2</v>
      </c>
      <c r="B243" s="38">
        <f>IFERROR(__xludf.DUMMYFUNCTION("""COMPUTED_VALUE"""),20.0)</f>
        <v>20</v>
      </c>
      <c r="C243" s="36" t="s">
        <v>39</v>
      </c>
      <c r="D243" s="39">
        <v>0.019</v>
      </c>
      <c r="E243" s="36" t="s">
        <v>28</v>
      </c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7" t="s">
        <v>3</v>
      </c>
      <c r="B244" s="38">
        <f>IFERROR(__xludf.DUMMYFUNCTION("""COMPUTED_VALUE"""),30.0)</f>
        <v>30</v>
      </c>
      <c r="C244" s="36" t="s">
        <v>39</v>
      </c>
      <c r="D244" s="39">
        <v>0.019</v>
      </c>
      <c r="E244" s="36" t="s">
        <v>28</v>
      </c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7" t="s">
        <v>4</v>
      </c>
      <c r="B245" s="38">
        <f>IFERROR(__xludf.DUMMYFUNCTION("""COMPUTED_VALUE"""),10.0)</f>
        <v>10</v>
      </c>
      <c r="C245" s="36" t="s">
        <v>39</v>
      </c>
      <c r="D245" s="39">
        <v>0.011</v>
      </c>
      <c r="E245" s="36" t="s">
        <v>28</v>
      </c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7" t="s">
        <v>5</v>
      </c>
      <c r="B246" s="38">
        <f>IFERROR(__xludf.DUMMYFUNCTION("""COMPUTED_VALUE"""),20.0)</f>
        <v>20</v>
      </c>
      <c r="C246" s="36" t="s">
        <v>39</v>
      </c>
      <c r="D246" s="39">
        <v>0.011</v>
      </c>
      <c r="E246" s="36" t="s">
        <v>28</v>
      </c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7" t="s">
        <v>6</v>
      </c>
      <c r="B247" s="38">
        <f>IFERROR(__xludf.DUMMYFUNCTION("""COMPUTED_VALUE"""),30.0)</f>
        <v>30</v>
      </c>
      <c r="C247" s="36" t="s">
        <v>39</v>
      </c>
      <c r="D247" s="39">
        <v>0.011</v>
      </c>
      <c r="E247" s="36" t="s">
        <v>28</v>
      </c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7" t="s">
        <v>7</v>
      </c>
      <c r="B248" s="38">
        <f>IFERROR(__xludf.DUMMYFUNCTION("""COMPUTED_VALUE"""),10.0)</f>
        <v>10</v>
      </c>
      <c r="C248" s="36" t="s">
        <v>39</v>
      </c>
      <c r="D248" s="39">
        <v>0.018</v>
      </c>
      <c r="E248" s="36" t="s">
        <v>28</v>
      </c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7" t="s">
        <v>8</v>
      </c>
      <c r="B249" s="38">
        <f>IFERROR(__xludf.DUMMYFUNCTION("""COMPUTED_VALUE"""),20.0)</f>
        <v>20</v>
      </c>
      <c r="C249" s="36" t="s">
        <v>39</v>
      </c>
      <c r="D249" s="39">
        <v>0.018</v>
      </c>
      <c r="E249" s="36" t="s">
        <v>28</v>
      </c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7" t="s">
        <v>9</v>
      </c>
      <c r="B250" s="38">
        <f>IFERROR(__xludf.DUMMYFUNCTION("""COMPUTED_VALUE"""),30.0)</f>
        <v>30</v>
      </c>
      <c r="C250" s="36" t="s">
        <v>39</v>
      </c>
      <c r="D250" s="39">
        <v>0.018</v>
      </c>
      <c r="E250" s="36" t="s">
        <v>28</v>
      </c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7" t="s">
        <v>10</v>
      </c>
      <c r="B251" s="38">
        <f>IFERROR(__xludf.DUMMYFUNCTION("""COMPUTED_VALUE"""),10.0)</f>
        <v>10</v>
      </c>
      <c r="C251" s="36" t="s">
        <v>39</v>
      </c>
      <c r="D251" s="39">
        <v>0.024</v>
      </c>
      <c r="E251" s="36" t="s">
        <v>28</v>
      </c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7" t="s">
        <v>11</v>
      </c>
      <c r="B252" s="38">
        <f>IFERROR(__xludf.DUMMYFUNCTION("""COMPUTED_VALUE"""),20.0)</f>
        <v>20</v>
      </c>
      <c r="C252" s="36" t="s">
        <v>39</v>
      </c>
      <c r="D252" s="39">
        <v>0.024</v>
      </c>
      <c r="E252" s="36" t="s">
        <v>28</v>
      </c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7" t="s">
        <v>12</v>
      </c>
      <c r="B253" s="38">
        <f>IFERROR(__xludf.DUMMYFUNCTION("""COMPUTED_VALUE"""),30.0)</f>
        <v>30</v>
      </c>
      <c r="C253" s="36" t="s">
        <v>39</v>
      </c>
      <c r="D253" s="39">
        <v>0.024</v>
      </c>
      <c r="E253" s="36" t="s">
        <v>28</v>
      </c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7" t="s">
        <v>13</v>
      </c>
      <c r="B254" s="38">
        <f>IFERROR(__xludf.DUMMYFUNCTION("""COMPUTED_VALUE"""),10.0)</f>
        <v>10</v>
      </c>
      <c r="C254" s="36" t="s">
        <v>39</v>
      </c>
      <c r="D254" s="39">
        <v>0.022</v>
      </c>
      <c r="E254" s="36" t="s">
        <v>28</v>
      </c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7" t="s">
        <v>14</v>
      </c>
      <c r="B255" s="38">
        <f>IFERROR(__xludf.DUMMYFUNCTION("""COMPUTED_VALUE"""),20.0)</f>
        <v>20</v>
      </c>
      <c r="C255" s="36" t="s">
        <v>39</v>
      </c>
      <c r="D255" s="39">
        <v>0.022</v>
      </c>
      <c r="E255" s="36" t="s">
        <v>28</v>
      </c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7" t="s">
        <v>15</v>
      </c>
      <c r="B256" s="38">
        <f>IFERROR(__xludf.DUMMYFUNCTION("""COMPUTED_VALUE"""),30.0)</f>
        <v>30</v>
      </c>
      <c r="C256" s="36" t="s">
        <v>39</v>
      </c>
      <c r="D256" s="39">
        <v>0.022</v>
      </c>
      <c r="E256" s="36" t="s">
        <v>28</v>
      </c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7" t="s">
        <v>16</v>
      </c>
      <c r="B257" s="38">
        <f>IFERROR(__xludf.DUMMYFUNCTION("""COMPUTED_VALUE"""),10.0)</f>
        <v>10</v>
      </c>
      <c r="C257" s="36" t="s">
        <v>39</v>
      </c>
      <c r="D257" s="39">
        <v>0.003</v>
      </c>
      <c r="E257" s="36" t="s">
        <v>28</v>
      </c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7" t="s">
        <v>17</v>
      </c>
      <c r="B258" s="38">
        <f>IFERROR(__xludf.DUMMYFUNCTION("""COMPUTED_VALUE"""),20.0)</f>
        <v>20</v>
      </c>
      <c r="C258" s="36" t="s">
        <v>39</v>
      </c>
      <c r="D258" s="39">
        <v>0.003</v>
      </c>
      <c r="E258" s="36" t="s">
        <v>28</v>
      </c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7" t="s">
        <v>18</v>
      </c>
      <c r="B259" s="38">
        <f>IFERROR(__xludf.DUMMYFUNCTION("""COMPUTED_VALUE"""),30.0)</f>
        <v>30</v>
      </c>
      <c r="C259" s="36" t="s">
        <v>39</v>
      </c>
      <c r="D259" s="39">
        <v>0.003</v>
      </c>
      <c r="E259" s="36" t="s">
        <v>28</v>
      </c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7" t="s">
        <v>19</v>
      </c>
      <c r="B260" s="38">
        <f>IFERROR(__xludf.DUMMYFUNCTION("""COMPUTED_VALUE"""),10.0)</f>
        <v>10</v>
      </c>
      <c r="C260" s="36" t="s">
        <v>39</v>
      </c>
      <c r="D260" s="39">
        <v>0.002</v>
      </c>
      <c r="E260" s="36" t="s">
        <v>28</v>
      </c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7" t="s">
        <v>20</v>
      </c>
      <c r="B261" s="38">
        <f>IFERROR(__xludf.DUMMYFUNCTION("""COMPUTED_VALUE"""),20.0)</f>
        <v>20</v>
      </c>
      <c r="C261" s="36" t="s">
        <v>39</v>
      </c>
      <c r="D261" s="39">
        <v>0.002</v>
      </c>
      <c r="E261" s="36" t="s">
        <v>28</v>
      </c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7" t="s">
        <v>21</v>
      </c>
      <c r="B262" s="38">
        <f>IFERROR(__xludf.DUMMYFUNCTION("""COMPUTED_VALUE"""),30.0)</f>
        <v>30</v>
      </c>
      <c r="C262" s="36" t="s">
        <v>39</v>
      </c>
      <c r="D262" s="39">
        <v>0.002</v>
      </c>
      <c r="E262" s="36" t="s">
        <v>28</v>
      </c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7" t="s">
        <v>22</v>
      </c>
      <c r="B263" s="38">
        <f>IFERROR(__xludf.DUMMYFUNCTION("""COMPUTED_VALUE"""),10.0)</f>
        <v>10</v>
      </c>
      <c r="C263" s="36" t="s">
        <v>39</v>
      </c>
      <c r="D263" s="39">
        <v>0.009</v>
      </c>
      <c r="E263" s="36" t="s">
        <v>28</v>
      </c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7" t="s">
        <v>23</v>
      </c>
      <c r="B264" s="38">
        <f>IFERROR(__xludf.DUMMYFUNCTION("""COMPUTED_VALUE"""),20.0)</f>
        <v>20</v>
      </c>
      <c r="C264" s="36" t="s">
        <v>39</v>
      </c>
      <c r="D264" s="39">
        <v>0.009</v>
      </c>
      <c r="E264" s="36" t="s">
        <v>28</v>
      </c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7" t="s">
        <v>24</v>
      </c>
      <c r="B265" s="38">
        <f>IFERROR(__xludf.DUMMYFUNCTION("""COMPUTED_VALUE"""),30.0)</f>
        <v>30</v>
      </c>
      <c r="C265" s="36" t="s">
        <v>39</v>
      </c>
      <c r="D265" s="39">
        <v>0.009</v>
      </c>
      <c r="E265" s="36" t="s">
        <v>28</v>
      </c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7" t="s">
        <v>1</v>
      </c>
      <c r="B266" s="38">
        <f>IFERROR(__xludf.DUMMYFUNCTION("""COMPUTED_VALUE"""),10.0)</f>
        <v>10</v>
      </c>
      <c r="C266" s="36" t="s">
        <v>40</v>
      </c>
      <c r="D266" s="39">
        <v>0.021</v>
      </c>
      <c r="E266" s="36" t="s">
        <v>28</v>
      </c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7" t="s">
        <v>2</v>
      </c>
      <c r="B267" s="38">
        <f>IFERROR(__xludf.DUMMYFUNCTION("""COMPUTED_VALUE"""),20.0)</f>
        <v>20</v>
      </c>
      <c r="C267" s="36" t="s">
        <v>40</v>
      </c>
      <c r="D267" s="39">
        <v>0.021</v>
      </c>
      <c r="E267" s="36" t="s">
        <v>28</v>
      </c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7" t="s">
        <v>3</v>
      </c>
      <c r="B268" s="38">
        <f>IFERROR(__xludf.DUMMYFUNCTION("""COMPUTED_VALUE"""),30.0)</f>
        <v>30</v>
      </c>
      <c r="C268" s="36" t="s">
        <v>40</v>
      </c>
      <c r="D268" s="39">
        <v>0.021</v>
      </c>
      <c r="E268" s="36" t="s">
        <v>28</v>
      </c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7" t="s">
        <v>4</v>
      </c>
      <c r="B269" s="38">
        <f>IFERROR(__xludf.DUMMYFUNCTION("""COMPUTED_VALUE"""),10.0)</f>
        <v>10</v>
      </c>
      <c r="C269" s="36" t="s">
        <v>40</v>
      </c>
      <c r="D269" s="39">
        <v>0.026</v>
      </c>
      <c r="E269" s="36" t="s">
        <v>28</v>
      </c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7" t="s">
        <v>5</v>
      </c>
      <c r="B270" s="38">
        <f>IFERROR(__xludf.DUMMYFUNCTION("""COMPUTED_VALUE"""),20.0)</f>
        <v>20</v>
      </c>
      <c r="C270" s="36" t="s">
        <v>40</v>
      </c>
      <c r="D270" s="39">
        <v>0.026</v>
      </c>
      <c r="E270" s="36" t="s">
        <v>28</v>
      </c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7" t="s">
        <v>6</v>
      </c>
      <c r="B271" s="38">
        <f>IFERROR(__xludf.DUMMYFUNCTION("""COMPUTED_VALUE"""),30.0)</f>
        <v>30</v>
      </c>
      <c r="C271" s="36" t="s">
        <v>40</v>
      </c>
      <c r="D271" s="39">
        <v>0.026</v>
      </c>
      <c r="E271" s="36" t="s">
        <v>28</v>
      </c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7" t="s">
        <v>7</v>
      </c>
      <c r="B272" s="38">
        <f>IFERROR(__xludf.DUMMYFUNCTION("""COMPUTED_VALUE"""),10.0)</f>
        <v>10</v>
      </c>
      <c r="C272" s="36" t="s">
        <v>40</v>
      </c>
      <c r="D272" s="39">
        <v>0.046</v>
      </c>
      <c r="E272" s="36" t="s">
        <v>28</v>
      </c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7" t="s">
        <v>8</v>
      </c>
      <c r="B273" s="38">
        <f>IFERROR(__xludf.DUMMYFUNCTION("""COMPUTED_VALUE"""),20.0)</f>
        <v>20</v>
      </c>
      <c r="C273" s="36" t="s">
        <v>40</v>
      </c>
      <c r="D273" s="39">
        <v>0.046</v>
      </c>
      <c r="E273" s="36" t="s">
        <v>28</v>
      </c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7" t="s">
        <v>9</v>
      </c>
      <c r="B274" s="38">
        <f>IFERROR(__xludf.DUMMYFUNCTION("""COMPUTED_VALUE"""),30.0)</f>
        <v>30</v>
      </c>
      <c r="C274" s="36" t="s">
        <v>40</v>
      </c>
      <c r="D274" s="39">
        <v>0.046</v>
      </c>
      <c r="E274" s="36" t="s">
        <v>28</v>
      </c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7" t="s">
        <v>10</v>
      </c>
      <c r="B275" s="38">
        <f>IFERROR(__xludf.DUMMYFUNCTION("""COMPUTED_VALUE"""),10.0)</f>
        <v>10</v>
      </c>
      <c r="C275" s="36" t="s">
        <v>40</v>
      </c>
      <c r="D275" s="39">
        <v>0.035</v>
      </c>
      <c r="E275" s="36" t="s">
        <v>28</v>
      </c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7" t="s">
        <v>11</v>
      </c>
      <c r="B276" s="38">
        <f>IFERROR(__xludf.DUMMYFUNCTION("""COMPUTED_VALUE"""),20.0)</f>
        <v>20</v>
      </c>
      <c r="C276" s="36" t="s">
        <v>40</v>
      </c>
      <c r="D276" s="39">
        <v>0.035</v>
      </c>
      <c r="E276" s="36" t="s">
        <v>28</v>
      </c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7" t="s">
        <v>12</v>
      </c>
      <c r="B277" s="38">
        <f>IFERROR(__xludf.DUMMYFUNCTION("""COMPUTED_VALUE"""),30.0)</f>
        <v>30</v>
      </c>
      <c r="C277" s="36" t="s">
        <v>40</v>
      </c>
      <c r="D277" s="39">
        <v>0.035</v>
      </c>
      <c r="E277" s="36" t="s">
        <v>28</v>
      </c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7" t="s">
        <v>13</v>
      </c>
      <c r="B278" s="38">
        <f>IFERROR(__xludf.DUMMYFUNCTION("""COMPUTED_VALUE"""),10.0)</f>
        <v>10</v>
      </c>
      <c r="C278" s="36" t="s">
        <v>40</v>
      </c>
      <c r="D278" s="39">
        <v>0.045</v>
      </c>
      <c r="E278" s="36" t="s">
        <v>28</v>
      </c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7" t="s">
        <v>14</v>
      </c>
      <c r="B279" s="38">
        <f>IFERROR(__xludf.DUMMYFUNCTION("""COMPUTED_VALUE"""),20.0)</f>
        <v>20</v>
      </c>
      <c r="C279" s="36" t="s">
        <v>40</v>
      </c>
      <c r="D279" s="39">
        <v>0.045</v>
      </c>
      <c r="E279" s="36" t="s">
        <v>28</v>
      </c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7" t="s">
        <v>15</v>
      </c>
      <c r="B280" s="38">
        <f>IFERROR(__xludf.DUMMYFUNCTION("""COMPUTED_VALUE"""),30.0)</f>
        <v>30</v>
      </c>
      <c r="C280" s="36" t="s">
        <v>40</v>
      </c>
      <c r="D280" s="39">
        <v>0.045</v>
      </c>
      <c r="E280" s="36" t="s">
        <v>28</v>
      </c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7" t="s">
        <v>16</v>
      </c>
      <c r="B281" s="38">
        <f>IFERROR(__xludf.DUMMYFUNCTION("""COMPUTED_VALUE"""),10.0)</f>
        <v>10</v>
      </c>
      <c r="C281" s="36" t="s">
        <v>40</v>
      </c>
      <c r="D281" s="39">
        <v>0.034</v>
      </c>
      <c r="E281" s="36" t="s">
        <v>28</v>
      </c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7" t="s">
        <v>17</v>
      </c>
      <c r="B282" s="38">
        <f>IFERROR(__xludf.DUMMYFUNCTION("""COMPUTED_VALUE"""),20.0)</f>
        <v>20</v>
      </c>
      <c r="C282" s="36" t="s">
        <v>40</v>
      </c>
      <c r="D282" s="39">
        <v>0.034</v>
      </c>
      <c r="E282" s="36" t="s">
        <v>28</v>
      </c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7" t="s">
        <v>18</v>
      </c>
      <c r="B283" s="38">
        <f>IFERROR(__xludf.DUMMYFUNCTION("""COMPUTED_VALUE"""),30.0)</f>
        <v>30</v>
      </c>
      <c r="C283" s="36" t="s">
        <v>40</v>
      </c>
      <c r="D283" s="39">
        <v>0.034</v>
      </c>
      <c r="E283" s="36" t="s">
        <v>28</v>
      </c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7" t="s">
        <v>19</v>
      </c>
      <c r="B284" s="38">
        <f>IFERROR(__xludf.DUMMYFUNCTION("""COMPUTED_VALUE"""),10.0)</f>
        <v>10</v>
      </c>
      <c r="C284" s="36" t="s">
        <v>40</v>
      </c>
      <c r="D284" s="39">
        <v>0.025</v>
      </c>
      <c r="E284" s="36" t="s">
        <v>28</v>
      </c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7" t="s">
        <v>20</v>
      </c>
      <c r="B285" s="38">
        <f>IFERROR(__xludf.DUMMYFUNCTION("""COMPUTED_VALUE"""),20.0)</f>
        <v>20</v>
      </c>
      <c r="C285" s="36" t="s">
        <v>40</v>
      </c>
      <c r="D285" s="39">
        <v>0.025</v>
      </c>
      <c r="E285" s="36" t="s">
        <v>28</v>
      </c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7" t="s">
        <v>21</v>
      </c>
      <c r="B286" s="38">
        <f>IFERROR(__xludf.DUMMYFUNCTION("""COMPUTED_VALUE"""),30.0)</f>
        <v>30</v>
      </c>
      <c r="C286" s="36" t="s">
        <v>40</v>
      </c>
      <c r="D286" s="39">
        <v>0.025</v>
      </c>
      <c r="E286" s="36" t="s">
        <v>28</v>
      </c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7" t="s">
        <v>22</v>
      </c>
      <c r="B287" s="38">
        <f>IFERROR(__xludf.DUMMYFUNCTION("""COMPUTED_VALUE"""),10.0)</f>
        <v>10</v>
      </c>
      <c r="C287" s="36" t="s">
        <v>40</v>
      </c>
      <c r="D287" s="39">
        <v>0.01</v>
      </c>
      <c r="E287" s="36" t="s">
        <v>28</v>
      </c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7" t="s">
        <v>23</v>
      </c>
      <c r="B288" s="38">
        <f>IFERROR(__xludf.DUMMYFUNCTION("""COMPUTED_VALUE"""),20.0)</f>
        <v>20</v>
      </c>
      <c r="C288" s="36" t="s">
        <v>40</v>
      </c>
      <c r="D288" s="39">
        <v>0.01</v>
      </c>
      <c r="E288" s="36" t="s">
        <v>28</v>
      </c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7" t="s">
        <v>24</v>
      </c>
      <c r="B289" s="38">
        <f>IFERROR(__xludf.DUMMYFUNCTION("""COMPUTED_VALUE"""),30.0)</f>
        <v>30</v>
      </c>
      <c r="C289" s="36" t="s">
        <v>40</v>
      </c>
      <c r="D289" s="39">
        <v>0.01</v>
      </c>
      <c r="E289" s="36" t="s">
        <v>28</v>
      </c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7" t="s">
        <v>1</v>
      </c>
      <c r="B290" s="38">
        <f>IFERROR(__xludf.DUMMYFUNCTION("""COMPUTED_VALUE"""),10.0)</f>
        <v>10</v>
      </c>
      <c r="C290" s="36" t="s">
        <v>41</v>
      </c>
      <c r="D290" s="39">
        <v>0.002</v>
      </c>
      <c r="E290" s="36" t="s">
        <v>28</v>
      </c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7" t="s">
        <v>2</v>
      </c>
      <c r="B291" s="38">
        <f>IFERROR(__xludf.DUMMYFUNCTION("""COMPUTED_VALUE"""),20.0)</f>
        <v>20</v>
      </c>
      <c r="C291" s="36" t="s">
        <v>41</v>
      </c>
      <c r="D291" s="39">
        <v>0.002</v>
      </c>
      <c r="E291" s="36" t="s">
        <v>28</v>
      </c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7" t="s">
        <v>3</v>
      </c>
      <c r="B292" s="38">
        <f>IFERROR(__xludf.DUMMYFUNCTION("""COMPUTED_VALUE"""),30.0)</f>
        <v>30</v>
      </c>
      <c r="C292" s="36" t="s">
        <v>41</v>
      </c>
      <c r="D292" s="39">
        <v>0.002</v>
      </c>
      <c r="E292" s="36" t="s">
        <v>28</v>
      </c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7" t="s">
        <v>4</v>
      </c>
      <c r="B293" s="38">
        <f>IFERROR(__xludf.DUMMYFUNCTION("""COMPUTED_VALUE"""),10.0)</f>
        <v>10</v>
      </c>
      <c r="C293" s="36" t="s">
        <v>41</v>
      </c>
      <c r="D293" s="39">
        <v>0.002</v>
      </c>
      <c r="E293" s="36" t="s">
        <v>28</v>
      </c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7" t="s">
        <v>5</v>
      </c>
      <c r="B294" s="38">
        <f>IFERROR(__xludf.DUMMYFUNCTION("""COMPUTED_VALUE"""),20.0)</f>
        <v>20</v>
      </c>
      <c r="C294" s="36" t="s">
        <v>41</v>
      </c>
      <c r="D294" s="39">
        <v>0.002</v>
      </c>
      <c r="E294" s="36" t="s">
        <v>28</v>
      </c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7" t="s">
        <v>6</v>
      </c>
      <c r="B295" s="38">
        <f>IFERROR(__xludf.DUMMYFUNCTION("""COMPUTED_VALUE"""),30.0)</f>
        <v>30</v>
      </c>
      <c r="C295" s="36" t="s">
        <v>41</v>
      </c>
      <c r="D295" s="39">
        <v>0.002</v>
      </c>
      <c r="E295" s="36" t="s">
        <v>28</v>
      </c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7" t="s">
        <v>7</v>
      </c>
      <c r="B296" s="38">
        <f>IFERROR(__xludf.DUMMYFUNCTION("""COMPUTED_VALUE"""),10.0)</f>
        <v>10</v>
      </c>
      <c r="C296" s="36" t="s">
        <v>41</v>
      </c>
      <c r="D296" s="39">
        <v>0.002</v>
      </c>
      <c r="E296" s="36" t="s">
        <v>28</v>
      </c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7" t="s">
        <v>8</v>
      </c>
      <c r="B297" s="38">
        <f>IFERROR(__xludf.DUMMYFUNCTION("""COMPUTED_VALUE"""),20.0)</f>
        <v>20</v>
      </c>
      <c r="C297" s="36" t="s">
        <v>41</v>
      </c>
      <c r="D297" s="39">
        <v>0.002</v>
      </c>
      <c r="E297" s="36" t="s">
        <v>28</v>
      </c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7" t="s">
        <v>9</v>
      </c>
      <c r="B298" s="38">
        <f>IFERROR(__xludf.DUMMYFUNCTION("""COMPUTED_VALUE"""),30.0)</f>
        <v>30</v>
      </c>
      <c r="C298" s="36" t="s">
        <v>41</v>
      </c>
      <c r="D298" s="39">
        <v>0.002</v>
      </c>
      <c r="E298" s="36" t="s">
        <v>28</v>
      </c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7" t="s">
        <v>10</v>
      </c>
      <c r="B299" s="38">
        <f>IFERROR(__xludf.DUMMYFUNCTION("""COMPUTED_VALUE"""),10.0)</f>
        <v>10</v>
      </c>
      <c r="C299" s="36" t="s">
        <v>41</v>
      </c>
      <c r="D299" s="39">
        <v>0.004</v>
      </c>
      <c r="E299" s="36" t="s">
        <v>28</v>
      </c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7" t="s">
        <v>11</v>
      </c>
      <c r="B300" s="38">
        <f>IFERROR(__xludf.DUMMYFUNCTION("""COMPUTED_VALUE"""),20.0)</f>
        <v>20</v>
      </c>
      <c r="C300" s="36" t="s">
        <v>41</v>
      </c>
      <c r="D300" s="39">
        <v>0.004</v>
      </c>
      <c r="E300" s="36" t="s">
        <v>28</v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7" t="s">
        <v>12</v>
      </c>
      <c r="B301" s="38">
        <f>IFERROR(__xludf.DUMMYFUNCTION("""COMPUTED_VALUE"""),30.0)</f>
        <v>30</v>
      </c>
      <c r="C301" s="36" t="s">
        <v>41</v>
      </c>
      <c r="D301" s="39">
        <v>0.004</v>
      </c>
      <c r="E301" s="36" t="s">
        <v>28</v>
      </c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7" t="s">
        <v>13</v>
      </c>
      <c r="B302" s="38">
        <f>IFERROR(__xludf.DUMMYFUNCTION("""COMPUTED_VALUE"""),10.0)</f>
        <v>10</v>
      </c>
      <c r="C302" s="36" t="s">
        <v>41</v>
      </c>
      <c r="D302" s="39">
        <v>0.003</v>
      </c>
      <c r="E302" s="36" t="s">
        <v>28</v>
      </c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7" t="s">
        <v>14</v>
      </c>
      <c r="B303" s="38">
        <f>IFERROR(__xludf.DUMMYFUNCTION("""COMPUTED_VALUE"""),20.0)</f>
        <v>20</v>
      </c>
      <c r="C303" s="36" t="s">
        <v>41</v>
      </c>
      <c r="D303" s="39">
        <v>0.003</v>
      </c>
      <c r="E303" s="36" t="s">
        <v>28</v>
      </c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7" t="s">
        <v>15</v>
      </c>
      <c r="B304" s="38">
        <f>IFERROR(__xludf.DUMMYFUNCTION("""COMPUTED_VALUE"""),30.0)</f>
        <v>30</v>
      </c>
      <c r="C304" s="36" t="s">
        <v>41</v>
      </c>
      <c r="D304" s="39">
        <v>0.003</v>
      </c>
      <c r="E304" s="36" t="s">
        <v>28</v>
      </c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7" t="s">
        <v>16</v>
      </c>
      <c r="B305" s="38">
        <f>IFERROR(__xludf.DUMMYFUNCTION("""COMPUTED_VALUE"""),10.0)</f>
        <v>10</v>
      </c>
      <c r="C305" s="36" t="s">
        <v>41</v>
      </c>
      <c r="D305" s="39">
        <v>0.003</v>
      </c>
      <c r="E305" s="36" t="s">
        <v>28</v>
      </c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7" t="s">
        <v>17</v>
      </c>
      <c r="B306" s="38">
        <f>IFERROR(__xludf.DUMMYFUNCTION("""COMPUTED_VALUE"""),20.0)</f>
        <v>20</v>
      </c>
      <c r="C306" s="36" t="s">
        <v>41</v>
      </c>
      <c r="D306" s="39">
        <v>0.003</v>
      </c>
      <c r="E306" s="36" t="s">
        <v>28</v>
      </c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7" t="s">
        <v>18</v>
      </c>
      <c r="B307" s="38">
        <f>IFERROR(__xludf.DUMMYFUNCTION("""COMPUTED_VALUE"""),30.0)</f>
        <v>30</v>
      </c>
      <c r="C307" s="36" t="s">
        <v>41</v>
      </c>
      <c r="D307" s="39">
        <v>0.003</v>
      </c>
      <c r="E307" s="36" t="s">
        <v>28</v>
      </c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7" t="s">
        <v>19</v>
      </c>
      <c r="B308" s="38">
        <f>IFERROR(__xludf.DUMMYFUNCTION("""COMPUTED_VALUE"""),10.0)</f>
        <v>10</v>
      </c>
      <c r="C308" s="36" t="s">
        <v>41</v>
      </c>
      <c r="D308" s="39">
        <v>0.002</v>
      </c>
      <c r="E308" s="36" t="s">
        <v>28</v>
      </c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7" t="s">
        <v>20</v>
      </c>
      <c r="B309" s="38">
        <f>IFERROR(__xludf.DUMMYFUNCTION("""COMPUTED_VALUE"""),20.0)</f>
        <v>20</v>
      </c>
      <c r="C309" s="36" t="s">
        <v>41</v>
      </c>
      <c r="D309" s="39">
        <v>0.002</v>
      </c>
      <c r="E309" s="36" t="s">
        <v>28</v>
      </c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7" t="s">
        <v>21</v>
      </c>
      <c r="B310" s="38">
        <f>IFERROR(__xludf.DUMMYFUNCTION("""COMPUTED_VALUE"""),30.0)</f>
        <v>30</v>
      </c>
      <c r="C310" s="36" t="s">
        <v>41</v>
      </c>
      <c r="D310" s="39">
        <v>0.002</v>
      </c>
      <c r="E310" s="36" t="s">
        <v>28</v>
      </c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7" t="s">
        <v>22</v>
      </c>
      <c r="B311" s="38">
        <f>IFERROR(__xludf.DUMMYFUNCTION("""COMPUTED_VALUE"""),10.0)</f>
        <v>10</v>
      </c>
      <c r="C311" s="36" t="s">
        <v>41</v>
      </c>
      <c r="D311" s="39">
        <v>0.007</v>
      </c>
      <c r="E311" s="36" t="s">
        <v>28</v>
      </c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7" t="s">
        <v>23</v>
      </c>
      <c r="B312" s="38">
        <f>IFERROR(__xludf.DUMMYFUNCTION("""COMPUTED_VALUE"""),20.0)</f>
        <v>20</v>
      </c>
      <c r="C312" s="36" t="s">
        <v>41</v>
      </c>
      <c r="D312" s="39">
        <v>0.007</v>
      </c>
      <c r="E312" s="36" t="s">
        <v>28</v>
      </c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7" t="s">
        <v>24</v>
      </c>
      <c r="B313" s="38">
        <f>IFERROR(__xludf.DUMMYFUNCTION("""COMPUTED_VALUE"""),30.0)</f>
        <v>30</v>
      </c>
      <c r="C313" s="36" t="s">
        <v>41</v>
      </c>
      <c r="D313" s="39">
        <v>0.007</v>
      </c>
      <c r="E313" s="36" t="s">
        <v>28</v>
      </c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7" t="s">
        <v>1</v>
      </c>
      <c r="B314" s="38">
        <f>IFERROR(__xludf.DUMMYFUNCTION("""COMPUTED_VALUE"""),10.0)</f>
        <v>10</v>
      </c>
      <c r="C314" s="36" t="s">
        <v>43</v>
      </c>
      <c r="D314" s="39">
        <v>0.001</v>
      </c>
      <c r="E314" s="36" t="s">
        <v>42</v>
      </c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7" t="s">
        <v>2</v>
      </c>
      <c r="B315" s="38">
        <f>IFERROR(__xludf.DUMMYFUNCTION("""COMPUTED_VALUE"""),20.0)</f>
        <v>20</v>
      </c>
      <c r="C315" s="36" t="s">
        <v>43</v>
      </c>
      <c r="D315" s="39">
        <v>0.001</v>
      </c>
      <c r="E315" s="36" t="s">
        <v>42</v>
      </c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7" t="s">
        <v>3</v>
      </c>
      <c r="B316" s="38">
        <f>IFERROR(__xludf.DUMMYFUNCTION("""COMPUTED_VALUE"""),30.0)</f>
        <v>30</v>
      </c>
      <c r="C316" s="36" t="s">
        <v>43</v>
      </c>
      <c r="D316" s="39">
        <v>0.001</v>
      </c>
      <c r="E316" s="36" t="s">
        <v>42</v>
      </c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7" t="s">
        <v>4</v>
      </c>
      <c r="B317" s="38">
        <f>IFERROR(__xludf.DUMMYFUNCTION("""COMPUTED_VALUE"""),10.0)</f>
        <v>10</v>
      </c>
      <c r="C317" s="36" t="s">
        <v>43</v>
      </c>
      <c r="D317" s="39">
        <v>0.01</v>
      </c>
      <c r="E317" s="36" t="s">
        <v>42</v>
      </c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7" t="s">
        <v>5</v>
      </c>
      <c r="B318" s="38">
        <f>IFERROR(__xludf.DUMMYFUNCTION("""COMPUTED_VALUE"""),20.0)</f>
        <v>20</v>
      </c>
      <c r="C318" s="36" t="s">
        <v>43</v>
      </c>
      <c r="D318" s="39">
        <v>0.01</v>
      </c>
      <c r="E318" s="36" t="s">
        <v>42</v>
      </c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7" t="s">
        <v>6</v>
      </c>
      <c r="B319" s="38">
        <f>IFERROR(__xludf.DUMMYFUNCTION("""COMPUTED_VALUE"""),30.0)</f>
        <v>30</v>
      </c>
      <c r="C319" s="36" t="s">
        <v>43</v>
      </c>
      <c r="D319" s="39">
        <v>0.01</v>
      </c>
      <c r="E319" s="36" t="s">
        <v>42</v>
      </c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7" t="s">
        <v>7</v>
      </c>
      <c r="B320" s="38">
        <f>IFERROR(__xludf.DUMMYFUNCTION("""COMPUTED_VALUE"""),10.0)</f>
        <v>10</v>
      </c>
      <c r="C320" s="36" t="s">
        <v>43</v>
      </c>
      <c r="D320" s="39">
        <v>0.008</v>
      </c>
      <c r="E320" s="36" t="s">
        <v>42</v>
      </c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7" t="s">
        <v>8</v>
      </c>
      <c r="B321" s="38">
        <f>IFERROR(__xludf.DUMMYFUNCTION("""COMPUTED_VALUE"""),20.0)</f>
        <v>20</v>
      </c>
      <c r="C321" s="36" t="s">
        <v>43</v>
      </c>
      <c r="D321" s="39">
        <v>0.008</v>
      </c>
      <c r="E321" s="36" t="s">
        <v>42</v>
      </c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7" t="s">
        <v>9</v>
      </c>
      <c r="B322" s="38">
        <f>IFERROR(__xludf.DUMMYFUNCTION("""COMPUTED_VALUE"""),30.0)</f>
        <v>30</v>
      </c>
      <c r="C322" s="36" t="s">
        <v>43</v>
      </c>
      <c r="D322" s="39">
        <v>0.008</v>
      </c>
      <c r="E322" s="36" t="s">
        <v>42</v>
      </c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7" t="s">
        <v>10</v>
      </c>
      <c r="B323" s="38">
        <f>IFERROR(__xludf.DUMMYFUNCTION("""COMPUTED_VALUE"""),10.0)</f>
        <v>10</v>
      </c>
      <c r="C323" s="36" t="s">
        <v>43</v>
      </c>
      <c r="D323" s="39">
        <v>0.008</v>
      </c>
      <c r="E323" s="36" t="s">
        <v>42</v>
      </c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7" t="s">
        <v>11</v>
      </c>
      <c r="B324" s="38">
        <f>IFERROR(__xludf.DUMMYFUNCTION("""COMPUTED_VALUE"""),20.0)</f>
        <v>20</v>
      </c>
      <c r="C324" s="36" t="s">
        <v>43</v>
      </c>
      <c r="D324" s="39">
        <v>0.008</v>
      </c>
      <c r="E324" s="36" t="s">
        <v>42</v>
      </c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7" t="s">
        <v>12</v>
      </c>
      <c r="B325" s="38">
        <f>IFERROR(__xludf.DUMMYFUNCTION("""COMPUTED_VALUE"""),30.0)</f>
        <v>30</v>
      </c>
      <c r="C325" s="36" t="s">
        <v>43</v>
      </c>
      <c r="D325" s="39">
        <v>0.008</v>
      </c>
      <c r="E325" s="36" t="s">
        <v>42</v>
      </c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7" t="s">
        <v>13</v>
      </c>
      <c r="B326" s="38">
        <f>IFERROR(__xludf.DUMMYFUNCTION("""COMPUTED_VALUE"""),10.0)</f>
        <v>10</v>
      </c>
      <c r="C326" s="36" t="s">
        <v>43</v>
      </c>
      <c r="D326" s="39">
        <v>0.011</v>
      </c>
      <c r="E326" s="36" t="s">
        <v>42</v>
      </c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7" t="s">
        <v>14</v>
      </c>
      <c r="B327" s="38">
        <f>IFERROR(__xludf.DUMMYFUNCTION("""COMPUTED_VALUE"""),20.0)</f>
        <v>20</v>
      </c>
      <c r="C327" s="36" t="s">
        <v>43</v>
      </c>
      <c r="D327" s="39">
        <v>0.011</v>
      </c>
      <c r="E327" s="36" t="s">
        <v>42</v>
      </c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7" t="s">
        <v>15</v>
      </c>
      <c r="B328" s="38">
        <f>IFERROR(__xludf.DUMMYFUNCTION("""COMPUTED_VALUE"""),30.0)</f>
        <v>30</v>
      </c>
      <c r="C328" s="36" t="s">
        <v>43</v>
      </c>
      <c r="D328" s="39">
        <v>0.011</v>
      </c>
      <c r="E328" s="36" t="s">
        <v>42</v>
      </c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7" t="s">
        <v>16</v>
      </c>
      <c r="B329" s="38">
        <f>IFERROR(__xludf.DUMMYFUNCTION("""COMPUTED_VALUE"""),10.0)</f>
        <v>10</v>
      </c>
      <c r="C329" s="36" t="s">
        <v>43</v>
      </c>
      <c r="D329" s="39">
        <v>0.013</v>
      </c>
      <c r="E329" s="36" t="s">
        <v>42</v>
      </c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7" t="s">
        <v>17</v>
      </c>
      <c r="B330" s="38">
        <f>IFERROR(__xludf.DUMMYFUNCTION("""COMPUTED_VALUE"""),20.0)</f>
        <v>20</v>
      </c>
      <c r="C330" s="36" t="s">
        <v>43</v>
      </c>
      <c r="D330" s="39">
        <v>0.013</v>
      </c>
      <c r="E330" s="36" t="s">
        <v>42</v>
      </c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7" t="s">
        <v>18</v>
      </c>
      <c r="B331" s="38">
        <f>IFERROR(__xludf.DUMMYFUNCTION("""COMPUTED_VALUE"""),30.0)</f>
        <v>30</v>
      </c>
      <c r="C331" s="36" t="s">
        <v>43</v>
      </c>
      <c r="D331" s="39">
        <v>0.013</v>
      </c>
      <c r="E331" s="36" t="s">
        <v>42</v>
      </c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7" t="s">
        <v>19</v>
      </c>
      <c r="B332" s="38">
        <f>IFERROR(__xludf.DUMMYFUNCTION("""COMPUTED_VALUE"""),10.0)</f>
        <v>10</v>
      </c>
      <c r="C332" s="36" t="s">
        <v>43</v>
      </c>
      <c r="D332" s="39">
        <v>0.007</v>
      </c>
      <c r="E332" s="36" t="s">
        <v>42</v>
      </c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7" t="s">
        <v>20</v>
      </c>
      <c r="B333" s="38">
        <f>IFERROR(__xludf.DUMMYFUNCTION("""COMPUTED_VALUE"""),20.0)</f>
        <v>20</v>
      </c>
      <c r="C333" s="36" t="s">
        <v>43</v>
      </c>
      <c r="D333" s="39">
        <v>0.007</v>
      </c>
      <c r="E333" s="36" t="s">
        <v>42</v>
      </c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7" t="s">
        <v>21</v>
      </c>
      <c r="B334" s="38">
        <f>IFERROR(__xludf.DUMMYFUNCTION("""COMPUTED_VALUE"""),30.0)</f>
        <v>30</v>
      </c>
      <c r="C334" s="36" t="s">
        <v>43</v>
      </c>
      <c r="D334" s="39">
        <v>0.007</v>
      </c>
      <c r="E334" s="36" t="s">
        <v>42</v>
      </c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7" t="s">
        <v>22</v>
      </c>
      <c r="B335" s="38">
        <f>IFERROR(__xludf.DUMMYFUNCTION("""COMPUTED_VALUE"""),10.0)</f>
        <v>10</v>
      </c>
      <c r="C335" s="36" t="s">
        <v>43</v>
      </c>
      <c r="D335" s="39">
        <v>0.026</v>
      </c>
      <c r="E335" s="36" t="s">
        <v>42</v>
      </c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7" t="s">
        <v>23</v>
      </c>
      <c r="B336" s="38">
        <f>IFERROR(__xludf.DUMMYFUNCTION("""COMPUTED_VALUE"""),20.0)</f>
        <v>20</v>
      </c>
      <c r="C336" s="36" t="s">
        <v>43</v>
      </c>
      <c r="D336" s="39">
        <v>0.026</v>
      </c>
      <c r="E336" s="36" t="s">
        <v>42</v>
      </c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7" t="s">
        <v>24</v>
      </c>
      <c r="B337" s="38">
        <f>IFERROR(__xludf.DUMMYFUNCTION("""COMPUTED_VALUE"""),30.0)</f>
        <v>30</v>
      </c>
      <c r="C337" s="36" t="s">
        <v>43</v>
      </c>
      <c r="D337" s="39">
        <v>0.026</v>
      </c>
      <c r="E337" s="36" t="s">
        <v>42</v>
      </c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7" t="s">
        <v>1</v>
      </c>
      <c r="B338" s="38">
        <f>IFERROR(__xludf.DUMMYFUNCTION("""COMPUTED_VALUE"""),10.0)</f>
        <v>10</v>
      </c>
      <c r="C338" s="36" t="s">
        <v>44</v>
      </c>
      <c r="D338" s="39">
        <v>0.472</v>
      </c>
      <c r="E338" s="36" t="s">
        <v>42</v>
      </c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7" t="s">
        <v>2</v>
      </c>
      <c r="B339" s="38">
        <f>IFERROR(__xludf.DUMMYFUNCTION("""COMPUTED_VALUE"""),20.0)</f>
        <v>20</v>
      </c>
      <c r="C339" s="36" t="s">
        <v>44</v>
      </c>
      <c r="D339" s="39">
        <v>0.472</v>
      </c>
      <c r="E339" s="36" t="s">
        <v>42</v>
      </c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7" t="s">
        <v>3</v>
      </c>
      <c r="B340" s="38">
        <f>IFERROR(__xludf.DUMMYFUNCTION("""COMPUTED_VALUE"""),30.0)</f>
        <v>30</v>
      </c>
      <c r="C340" s="36" t="s">
        <v>44</v>
      </c>
      <c r="D340" s="39">
        <v>0.472</v>
      </c>
      <c r="E340" s="36" t="s">
        <v>42</v>
      </c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7" t="s">
        <v>4</v>
      </c>
      <c r="B341" s="38">
        <f>IFERROR(__xludf.DUMMYFUNCTION("""COMPUTED_VALUE"""),10.0)</f>
        <v>10</v>
      </c>
      <c r="C341" s="36" t="s">
        <v>44</v>
      </c>
      <c r="D341" s="39">
        <v>0.47</v>
      </c>
      <c r="E341" s="36" t="s">
        <v>42</v>
      </c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7" t="s">
        <v>5</v>
      </c>
      <c r="B342" s="38">
        <f>IFERROR(__xludf.DUMMYFUNCTION("""COMPUTED_VALUE"""),20.0)</f>
        <v>20</v>
      </c>
      <c r="C342" s="36" t="s">
        <v>44</v>
      </c>
      <c r="D342" s="39">
        <v>0.47</v>
      </c>
      <c r="E342" s="36" t="s">
        <v>42</v>
      </c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7" t="s">
        <v>6</v>
      </c>
      <c r="B343" s="38">
        <f>IFERROR(__xludf.DUMMYFUNCTION("""COMPUTED_VALUE"""),30.0)</f>
        <v>30</v>
      </c>
      <c r="C343" s="36" t="s">
        <v>44</v>
      </c>
      <c r="D343" s="39">
        <v>0.47</v>
      </c>
      <c r="E343" s="36" t="s">
        <v>42</v>
      </c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7" t="s">
        <v>7</v>
      </c>
      <c r="B344" s="38">
        <f>IFERROR(__xludf.DUMMYFUNCTION("""COMPUTED_VALUE"""),10.0)</f>
        <v>10</v>
      </c>
      <c r="C344" s="36" t="s">
        <v>44</v>
      </c>
      <c r="D344" s="39">
        <v>0.449</v>
      </c>
      <c r="E344" s="36" t="s">
        <v>42</v>
      </c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7" t="s">
        <v>8</v>
      </c>
      <c r="B345" s="38">
        <f>IFERROR(__xludf.DUMMYFUNCTION("""COMPUTED_VALUE"""),20.0)</f>
        <v>20</v>
      </c>
      <c r="C345" s="36" t="s">
        <v>44</v>
      </c>
      <c r="D345" s="39">
        <v>0.449</v>
      </c>
      <c r="E345" s="36" t="s">
        <v>42</v>
      </c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7" t="s">
        <v>9</v>
      </c>
      <c r="B346" s="38">
        <f>IFERROR(__xludf.DUMMYFUNCTION("""COMPUTED_VALUE"""),30.0)</f>
        <v>30</v>
      </c>
      <c r="C346" s="36" t="s">
        <v>44</v>
      </c>
      <c r="D346" s="39">
        <v>0.449</v>
      </c>
      <c r="E346" s="36" t="s">
        <v>42</v>
      </c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7" t="s">
        <v>10</v>
      </c>
      <c r="B347" s="38">
        <f>IFERROR(__xludf.DUMMYFUNCTION("""COMPUTED_VALUE"""),10.0)</f>
        <v>10</v>
      </c>
      <c r="C347" s="36" t="s">
        <v>44</v>
      </c>
      <c r="D347" s="39">
        <v>0.453</v>
      </c>
      <c r="E347" s="36" t="s">
        <v>42</v>
      </c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7" t="s">
        <v>11</v>
      </c>
      <c r="B348" s="38">
        <f>IFERROR(__xludf.DUMMYFUNCTION("""COMPUTED_VALUE"""),20.0)</f>
        <v>20</v>
      </c>
      <c r="C348" s="36" t="s">
        <v>44</v>
      </c>
      <c r="D348" s="39">
        <v>0.453</v>
      </c>
      <c r="E348" s="36" t="s">
        <v>42</v>
      </c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7" t="s">
        <v>12</v>
      </c>
      <c r="B349" s="38">
        <f>IFERROR(__xludf.DUMMYFUNCTION("""COMPUTED_VALUE"""),30.0)</f>
        <v>30</v>
      </c>
      <c r="C349" s="36" t="s">
        <v>44</v>
      </c>
      <c r="D349" s="39">
        <v>0.453</v>
      </c>
      <c r="E349" s="36" t="s">
        <v>42</v>
      </c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7" t="s">
        <v>13</v>
      </c>
      <c r="B350" s="38">
        <f>IFERROR(__xludf.DUMMYFUNCTION("""COMPUTED_VALUE"""),10.0)</f>
        <v>10</v>
      </c>
      <c r="C350" s="36" t="s">
        <v>44</v>
      </c>
      <c r="D350" s="39">
        <v>0.495</v>
      </c>
      <c r="E350" s="36" t="s">
        <v>42</v>
      </c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7" t="s">
        <v>14</v>
      </c>
      <c r="B351" s="38">
        <f>IFERROR(__xludf.DUMMYFUNCTION("""COMPUTED_VALUE"""),20.0)</f>
        <v>20</v>
      </c>
      <c r="C351" s="36" t="s">
        <v>44</v>
      </c>
      <c r="D351" s="39">
        <v>0.495</v>
      </c>
      <c r="E351" s="36" t="s">
        <v>42</v>
      </c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7" t="s">
        <v>15</v>
      </c>
      <c r="B352" s="38">
        <f>IFERROR(__xludf.DUMMYFUNCTION("""COMPUTED_VALUE"""),30.0)</f>
        <v>30</v>
      </c>
      <c r="C352" s="36" t="s">
        <v>44</v>
      </c>
      <c r="D352" s="39">
        <v>0.495</v>
      </c>
      <c r="E352" s="36" t="s">
        <v>42</v>
      </c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7" t="s">
        <v>16</v>
      </c>
      <c r="B353" s="38">
        <f>IFERROR(__xludf.DUMMYFUNCTION("""COMPUTED_VALUE"""),10.0)</f>
        <v>10</v>
      </c>
      <c r="C353" s="36" t="s">
        <v>44</v>
      </c>
      <c r="D353" s="39">
        <v>0.474</v>
      </c>
      <c r="E353" s="36" t="s">
        <v>42</v>
      </c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7" t="s">
        <v>17</v>
      </c>
      <c r="B354" s="38">
        <f>IFERROR(__xludf.DUMMYFUNCTION("""COMPUTED_VALUE"""),20.0)</f>
        <v>20</v>
      </c>
      <c r="C354" s="36" t="s">
        <v>44</v>
      </c>
      <c r="D354" s="39">
        <v>0.474</v>
      </c>
      <c r="E354" s="36" t="s">
        <v>42</v>
      </c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7" t="s">
        <v>18</v>
      </c>
      <c r="B355" s="38">
        <f>IFERROR(__xludf.DUMMYFUNCTION("""COMPUTED_VALUE"""),30.0)</f>
        <v>30</v>
      </c>
      <c r="C355" s="36" t="s">
        <v>44</v>
      </c>
      <c r="D355" s="39">
        <v>0.474</v>
      </c>
      <c r="E355" s="36" t="s">
        <v>42</v>
      </c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7" t="s">
        <v>19</v>
      </c>
      <c r="B356" s="38">
        <f>IFERROR(__xludf.DUMMYFUNCTION("""COMPUTED_VALUE"""),10.0)</f>
        <v>10</v>
      </c>
      <c r="C356" s="36" t="s">
        <v>44</v>
      </c>
      <c r="D356" s="39">
        <v>0.444</v>
      </c>
      <c r="E356" s="36" t="s">
        <v>42</v>
      </c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7" t="s">
        <v>20</v>
      </c>
      <c r="B357" s="38">
        <f>IFERROR(__xludf.DUMMYFUNCTION("""COMPUTED_VALUE"""),20.0)</f>
        <v>20</v>
      </c>
      <c r="C357" s="36" t="s">
        <v>44</v>
      </c>
      <c r="D357" s="39">
        <v>0.444</v>
      </c>
      <c r="E357" s="36" t="s">
        <v>42</v>
      </c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7" t="s">
        <v>21</v>
      </c>
      <c r="B358" s="38">
        <f>IFERROR(__xludf.DUMMYFUNCTION("""COMPUTED_VALUE"""),30.0)</f>
        <v>30</v>
      </c>
      <c r="C358" s="36" t="s">
        <v>44</v>
      </c>
      <c r="D358" s="39">
        <v>0.444</v>
      </c>
      <c r="E358" s="36" t="s">
        <v>42</v>
      </c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7" t="s">
        <v>22</v>
      </c>
      <c r="B359" s="38">
        <f>IFERROR(__xludf.DUMMYFUNCTION("""COMPUTED_VALUE"""),10.0)</f>
        <v>10</v>
      </c>
      <c r="C359" s="36" t="s">
        <v>44</v>
      </c>
      <c r="D359" s="39">
        <v>0.419</v>
      </c>
      <c r="E359" s="36" t="s">
        <v>42</v>
      </c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7" t="s">
        <v>23</v>
      </c>
      <c r="B360" s="38">
        <f>IFERROR(__xludf.DUMMYFUNCTION("""COMPUTED_VALUE"""),20.0)</f>
        <v>20</v>
      </c>
      <c r="C360" s="36" t="s">
        <v>44</v>
      </c>
      <c r="D360" s="39">
        <v>0.419</v>
      </c>
      <c r="E360" s="36" t="s">
        <v>42</v>
      </c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7" t="s">
        <v>24</v>
      </c>
      <c r="B361" s="38">
        <f>IFERROR(__xludf.DUMMYFUNCTION("""COMPUTED_VALUE"""),30.0)</f>
        <v>30</v>
      </c>
      <c r="C361" s="36" t="s">
        <v>44</v>
      </c>
      <c r="D361" s="39">
        <v>0.419</v>
      </c>
      <c r="E361" s="36" t="s">
        <v>42</v>
      </c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7" t="s">
        <v>1</v>
      </c>
      <c r="B362" s="38">
        <f>IFERROR(__xludf.DUMMYFUNCTION("""COMPUTED_VALUE"""),10.0)</f>
        <v>10</v>
      </c>
      <c r="C362" s="36" t="s">
        <v>45</v>
      </c>
      <c r="D362" s="39">
        <v>0.063</v>
      </c>
      <c r="E362" s="36" t="s">
        <v>42</v>
      </c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7" t="s">
        <v>2</v>
      </c>
      <c r="B363" s="38">
        <f>IFERROR(__xludf.DUMMYFUNCTION("""COMPUTED_VALUE"""),20.0)</f>
        <v>20</v>
      </c>
      <c r="C363" s="36" t="s">
        <v>45</v>
      </c>
      <c r="D363" s="39">
        <v>0.063</v>
      </c>
      <c r="E363" s="36" t="s">
        <v>42</v>
      </c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7" t="s">
        <v>3</v>
      </c>
      <c r="B364" s="38">
        <f>IFERROR(__xludf.DUMMYFUNCTION("""COMPUTED_VALUE"""),30.0)</f>
        <v>30</v>
      </c>
      <c r="C364" s="36" t="s">
        <v>45</v>
      </c>
      <c r="D364" s="39">
        <v>0.063</v>
      </c>
      <c r="E364" s="36" t="s">
        <v>42</v>
      </c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7" t="s">
        <v>4</v>
      </c>
      <c r="B365" s="38">
        <f>IFERROR(__xludf.DUMMYFUNCTION("""COMPUTED_VALUE"""),10.0)</f>
        <v>10</v>
      </c>
      <c r="C365" s="36" t="s">
        <v>45</v>
      </c>
      <c r="D365" s="39">
        <v>0.055</v>
      </c>
      <c r="E365" s="36" t="s">
        <v>42</v>
      </c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7" t="s">
        <v>5</v>
      </c>
      <c r="B366" s="38">
        <f>IFERROR(__xludf.DUMMYFUNCTION("""COMPUTED_VALUE"""),20.0)</f>
        <v>20</v>
      </c>
      <c r="C366" s="36" t="s">
        <v>45</v>
      </c>
      <c r="D366" s="39">
        <v>0.055</v>
      </c>
      <c r="E366" s="36" t="s">
        <v>42</v>
      </c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7" t="s">
        <v>6</v>
      </c>
      <c r="B367" s="38">
        <f>IFERROR(__xludf.DUMMYFUNCTION("""COMPUTED_VALUE"""),30.0)</f>
        <v>30</v>
      </c>
      <c r="C367" s="36" t="s">
        <v>45</v>
      </c>
      <c r="D367" s="39">
        <v>0.055</v>
      </c>
      <c r="E367" s="36" t="s">
        <v>42</v>
      </c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7" t="s">
        <v>7</v>
      </c>
      <c r="B368" s="38">
        <f>IFERROR(__xludf.DUMMYFUNCTION("""COMPUTED_VALUE"""),10.0)</f>
        <v>10</v>
      </c>
      <c r="C368" s="36" t="s">
        <v>45</v>
      </c>
      <c r="D368" s="39">
        <v>0.061</v>
      </c>
      <c r="E368" s="36" t="s">
        <v>42</v>
      </c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7" t="s">
        <v>8</v>
      </c>
      <c r="B369" s="38">
        <f>IFERROR(__xludf.DUMMYFUNCTION("""COMPUTED_VALUE"""),20.0)</f>
        <v>20</v>
      </c>
      <c r="C369" s="36" t="s">
        <v>45</v>
      </c>
      <c r="D369" s="39">
        <v>0.061</v>
      </c>
      <c r="E369" s="36" t="s">
        <v>42</v>
      </c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7" t="s">
        <v>9</v>
      </c>
      <c r="B370" s="38">
        <f>IFERROR(__xludf.DUMMYFUNCTION("""COMPUTED_VALUE"""),30.0)</f>
        <v>30</v>
      </c>
      <c r="C370" s="36" t="s">
        <v>45</v>
      </c>
      <c r="D370" s="39">
        <v>0.061</v>
      </c>
      <c r="E370" s="36" t="s">
        <v>42</v>
      </c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7" t="s">
        <v>10</v>
      </c>
      <c r="B371" s="38">
        <f>IFERROR(__xludf.DUMMYFUNCTION("""COMPUTED_VALUE"""),10.0)</f>
        <v>10</v>
      </c>
      <c r="C371" s="36" t="s">
        <v>45</v>
      </c>
      <c r="D371" s="39">
        <v>0.062</v>
      </c>
      <c r="E371" s="36" t="s">
        <v>42</v>
      </c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7" t="s">
        <v>11</v>
      </c>
      <c r="B372" s="38">
        <f>IFERROR(__xludf.DUMMYFUNCTION("""COMPUTED_VALUE"""),20.0)</f>
        <v>20</v>
      </c>
      <c r="C372" s="36" t="s">
        <v>45</v>
      </c>
      <c r="D372" s="39">
        <v>0.062</v>
      </c>
      <c r="E372" s="36" t="s">
        <v>42</v>
      </c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7" t="s">
        <v>12</v>
      </c>
      <c r="B373" s="38">
        <f>IFERROR(__xludf.DUMMYFUNCTION("""COMPUTED_VALUE"""),30.0)</f>
        <v>30</v>
      </c>
      <c r="C373" s="36" t="s">
        <v>45</v>
      </c>
      <c r="D373" s="39">
        <v>0.062</v>
      </c>
      <c r="E373" s="36" t="s">
        <v>42</v>
      </c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7" t="s">
        <v>13</v>
      </c>
      <c r="B374" s="38">
        <f>IFERROR(__xludf.DUMMYFUNCTION("""COMPUTED_VALUE"""),10.0)</f>
        <v>10</v>
      </c>
      <c r="C374" s="36" t="s">
        <v>45</v>
      </c>
      <c r="D374" s="39">
        <v>0.061</v>
      </c>
      <c r="E374" s="36" t="s">
        <v>42</v>
      </c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7" t="s">
        <v>14</v>
      </c>
      <c r="B375" s="38">
        <f>IFERROR(__xludf.DUMMYFUNCTION("""COMPUTED_VALUE"""),20.0)</f>
        <v>20</v>
      </c>
      <c r="C375" s="36" t="s">
        <v>45</v>
      </c>
      <c r="D375" s="39">
        <v>0.061</v>
      </c>
      <c r="E375" s="36" t="s">
        <v>42</v>
      </c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7" t="s">
        <v>15</v>
      </c>
      <c r="B376" s="38">
        <f>IFERROR(__xludf.DUMMYFUNCTION("""COMPUTED_VALUE"""),30.0)</f>
        <v>30</v>
      </c>
      <c r="C376" s="36" t="s">
        <v>45</v>
      </c>
      <c r="D376" s="39">
        <v>0.061</v>
      </c>
      <c r="E376" s="36" t="s">
        <v>42</v>
      </c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7" t="s">
        <v>16</v>
      </c>
      <c r="B377" s="38">
        <f>IFERROR(__xludf.DUMMYFUNCTION("""COMPUTED_VALUE"""),10.0)</f>
        <v>10</v>
      </c>
      <c r="C377" s="36" t="s">
        <v>45</v>
      </c>
      <c r="D377" s="39">
        <v>0.078</v>
      </c>
      <c r="E377" s="36" t="s">
        <v>42</v>
      </c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7" t="s">
        <v>17</v>
      </c>
      <c r="B378" s="38">
        <f>IFERROR(__xludf.DUMMYFUNCTION("""COMPUTED_VALUE"""),20.0)</f>
        <v>20</v>
      </c>
      <c r="C378" s="36" t="s">
        <v>45</v>
      </c>
      <c r="D378" s="39">
        <v>0.078</v>
      </c>
      <c r="E378" s="36" t="s">
        <v>42</v>
      </c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7" t="s">
        <v>18</v>
      </c>
      <c r="B379" s="38">
        <f>IFERROR(__xludf.DUMMYFUNCTION("""COMPUTED_VALUE"""),30.0)</f>
        <v>30</v>
      </c>
      <c r="C379" s="36" t="s">
        <v>45</v>
      </c>
      <c r="D379" s="39">
        <v>0.078</v>
      </c>
      <c r="E379" s="36" t="s">
        <v>42</v>
      </c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7" t="s">
        <v>19</v>
      </c>
      <c r="B380" s="38">
        <f>IFERROR(__xludf.DUMMYFUNCTION("""COMPUTED_VALUE"""),10.0)</f>
        <v>10</v>
      </c>
      <c r="C380" s="36" t="s">
        <v>45</v>
      </c>
      <c r="D380" s="39">
        <v>0.076</v>
      </c>
      <c r="E380" s="36" t="s">
        <v>42</v>
      </c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7" t="s">
        <v>20</v>
      </c>
      <c r="B381" s="38">
        <f>IFERROR(__xludf.DUMMYFUNCTION("""COMPUTED_VALUE"""),20.0)</f>
        <v>20</v>
      </c>
      <c r="C381" s="36" t="s">
        <v>45</v>
      </c>
      <c r="D381" s="39">
        <v>0.076</v>
      </c>
      <c r="E381" s="36" t="s">
        <v>42</v>
      </c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7" t="s">
        <v>21</v>
      </c>
      <c r="B382" s="38">
        <f>IFERROR(__xludf.DUMMYFUNCTION("""COMPUTED_VALUE"""),30.0)</f>
        <v>30</v>
      </c>
      <c r="C382" s="36" t="s">
        <v>45</v>
      </c>
      <c r="D382" s="39">
        <v>0.076</v>
      </c>
      <c r="E382" s="36" t="s">
        <v>42</v>
      </c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7" t="s">
        <v>22</v>
      </c>
      <c r="B383" s="38">
        <f>IFERROR(__xludf.DUMMYFUNCTION("""COMPUTED_VALUE"""),10.0)</f>
        <v>10</v>
      </c>
      <c r="C383" s="36" t="s">
        <v>45</v>
      </c>
      <c r="D383" s="39">
        <v>0.043</v>
      </c>
      <c r="E383" s="36" t="s">
        <v>42</v>
      </c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7" t="s">
        <v>23</v>
      </c>
      <c r="B384" s="38">
        <f>IFERROR(__xludf.DUMMYFUNCTION("""COMPUTED_VALUE"""),20.0)</f>
        <v>20</v>
      </c>
      <c r="C384" s="36" t="s">
        <v>45</v>
      </c>
      <c r="D384" s="39">
        <v>0.043</v>
      </c>
      <c r="E384" s="36" t="s">
        <v>42</v>
      </c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7" t="s">
        <v>24</v>
      </c>
      <c r="B385" s="38">
        <f>IFERROR(__xludf.DUMMYFUNCTION("""COMPUTED_VALUE"""),30.0)</f>
        <v>30</v>
      </c>
      <c r="C385" s="36" t="s">
        <v>45</v>
      </c>
      <c r="D385" s="39">
        <v>0.043</v>
      </c>
      <c r="E385" s="36" t="s">
        <v>42</v>
      </c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7" t="s">
        <v>1</v>
      </c>
      <c r="B386" s="38">
        <f>IFERROR(__xludf.DUMMYFUNCTION("""COMPUTED_VALUE"""),10.0)</f>
        <v>10</v>
      </c>
      <c r="C386" s="36" t="s">
        <v>46</v>
      </c>
      <c r="D386" s="39">
        <v>0.46</v>
      </c>
      <c r="E386" s="36" t="s">
        <v>42</v>
      </c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7" t="s">
        <v>2</v>
      </c>
      <c r="B387" s="38">
        <f>IFERROR(__xludf.DUMMYFUNCTION("""COMPUTED_VALUE"""),20.0)</f>
        <v>20</v>
      </c>
      <c r="C387" s="36" t="s">
        <v>46</v>
      </c>
      <c r="D387" s="39">
        <v>0.46</v>
      </c>
      <c r="E387" s="36" t="s">
        <v>42</v>
      </c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7" t="s">
        <v>3</v>
      </c>
      <c r="B388" s="38">
        <f>IFERROR(__xludf.DUMMYFUNCTION("""COMPUTED_VALUE"""),30.0)</f>
        <v>30</v>
      </c>
      <c r="C388" s="36" t="s">
        <v>46</v>
      </c>
      <c r="D388" s="39">
        <v>0.46</v>
      </c>
      <c r="E388" s="36" t="s">
        <v>42</v>
      </c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7" t="s">
        <v>4</v>
      </c>
      <c r="B389" s="38">
        <f>IFERROR(__xludf.DUMMYFUNCTION("""COMPUTED_VALUE"""),10.0)</f>
        <v>10</v>
      </c>
      <c r="C389" s="36" t="s">
        <v>46</v>
      </c>
      <c r="D389" s="39">
        <v>0.465</v>
      </c>
      <c r="E389" s="36" t="s">
        <v>42</v>
      </c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7" t="s">
        <v>5</v>
      </c>
      <c r="B390" s="38">
        <f>IFERROR(__xludf.DUMMYFUNCTION("""COMPUTED_VALUE"""),20.0)</f>
        <v>20</v>
      </c>
      <c r="C390" s="36" t="s">
        <v>46</v>
      </c>
      <c r="D390" s="39">
        <v>0.465</v>
      </c>
      <c r="E390" s="36" t="s">
        <v>42</v>
      </c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7" t="s">
        <v>6</v>
      </c>
      <c r="B391" s="38">
        <f>IFERROR(__xludf.DUMMYFUNCTION("""COMPUTED_VALUE"""),30.0)</f>
        <v>30</v>
      </c>
      <c r="C391" s="36" t="s">
        <v>46</v>
      </c>
      <c r="D391" s="39">
        <v>0.465</v>
      </c>
      <c r="E391" s="36" t="s">
        <v>42</v>
      </c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7" t="s">
        <v>7</v>
      </c>
      <c r="B392" s="38">
        <f>IFERROR(__xludf.DUMMYFUNCTION("""COMPUTED_VALUE"""),10.0)</f>
        <v>10</v>
      </c>
      <c r="C392" s="36" t="s">
        <v>46</v>
      </c>
      <c r="D392" s="39">
        <v>0.482</v>
      </c>
      <c r="E392" s="36" t="s">
        <v>42</v>
      </c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7" t="s">
        <v>8</v>
      </c>
      <c r="B393" s="38">
        <f>IFERROR(__xludf.DUMMYFUNCTION("""COMPUTED_VALUE"""),20.0)</f>
        <v>20</v>
      </c>
      <c r="C393" s="36" t="s">
        <v>46</v>
      </c>
      <c r="D393" s="39">
        <v>0.482</v>
      </c>
      <c r="E393" s="36" t="s">
        <v>42</v>
      </c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7" t="s">
        <v>9</v>
      </c>
      <c r="B394" s="38">
        <f>IFERROR(__xludf.DUMMYFUNCTION("""COMPUTED_VALUE"""),30.0)</f>
        <v>30</v>
      </c>
      <c r="C394" s="36" t="s">
        <v>46</v>
      </c>
      <c r="D394" s="39">
        <v>0.482</v>
      </c>
      <c r="E394" s="36" t="s">
        <v>42</v>
      </c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7" t="s">
        <v>10</v>
      </c>
      <c r="B395" s="38">
        <f>IFERROR(__xludf.DUMMYFUNCTION("""COMPUTED_VALUE"""),10.0)</f>
        <v>10</v>
      </c>
      <c r="C395" s="36" t="s">
        <v>46</v>
      </c>
      <c r="D395" s="39">
        <v>0.477</v>
      </c>
      <c r="E395" s="36" t="s">
        <v>42</v>
      </c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7" t="s">
        <v>11</v>
      </c>
      <c r="B396" s="38">
        <f>IFERROR(__xludf.DUMMYFUNCTION("""COMPUTED_VALUE"""),20.0)</f>
        <v>20</v>
      </c>
      <c r="C396" s="36" t="s">
        <v>46</v>
      </c>
      <c r="D396" s="39">
        <v>0.477</v>
      </c>
      <c r="E396" s="36" t="s">
        <v>42</v>
      </c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7" t="s">
        <v>12</v>
      </c>
      <c r="B397" s="38">
        <f>IFERROR(__xludf.DUMMYFUNCTION("""COMPUTED_VALUE"""),30.0)</f>
        <v>30</v>
      </c>
      <c r="C397" s="36" t="s">
        <v>46</v>
      </c>
      <c r="D397" s="39">
        <v>0.477</v>
      </c>
      <c r="E397" s="36" t="s">
        <v>42</v>
      </c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7" t="s">
        <v>13</v>
      </c>
      <c r="B398" s="38">
        <f>IFERROR(__xludf.DUMMYFUNCTION("""COMPUTED_VALUE"""),10.0)</f>
        <v>10</v>
      </c>
      <c r="C398" s="36" t="s">
        <v>46</v>
      </c>
      <c r="D398" s="39">
        <v>0.433</v>
      </c>
      <c r="E398" s="36" t="s">
        <v>42</v>
      </c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7" t="s">
        <v>14</v>
      </c>
      <c r="B399" s="38">
        <f>IFERROR(__xludf.DUMMYFUNCTION("""COMPUTED_VALUE"""),20.0)</f>
        <v>20</v>
      </c>
      <c r="C399" s="36" t="s">
        <v>46</v>
      </c>
      <c r="D399" s="39">
        <v>0.433</v>
      </c>
      <c r="E399" s="36" t="s">
        <v>42</v>
      </c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7" t="s">
        <v>15</v>
      </c>
      <c r="B400" s="38">
        <f>IFERROR(__xludf.DUMMYFUNCTION("""COMPUTED_VALUE"""),30.0)</f>
        <v>30</v>
      </c>
      <c r="C400" s="36" t="s">
        <v>46</v>
      </c>
      <c r="D400" s="39">
        <v>0.433</v>
      </c>
      <c r="E400" s="36" t="s">
        <v>42</v>
      </c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7" t="s">
        <v>16</v>
      </c>
      <c r="B401" s="38">
        <f>IFERROR(__xludf.DUMMYFUNCTION("""COMPUTED_VALUE"""),10.0)</f>
        <v>10</v>
      </c>
      <c r="C401" s="36" t="s">
        <v>46</v>
      </c>
      <c r="D401" s="39">
        <v>0.435</v>
      </c>
      <c r="E401" s="36" t="s">
        <v>42</v>
      </c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7" t="s">
        <v>17</v>
      </c>
      <c r="B402" s="38">
        <f>IFERROR(__xludf.DUMMYFUNCTION("""COMPUTED_VALUE"""),20.0)</f>
        <v>20</v>
      </c>
      <c r="C402" s="36" t="s">
        <v>46</v>
      </c>
      <c r="D402" s="39">
        <v>0.435</v>
      </c>
      <c r="E402" s="36" t="s">
        <v>42</v>
      </c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7" t="s">
        <v>18</v>
      </c>
      <c r="B403" s="38">
        <f>IFERROR(__xludf.DUMMYFUNCTION("""COMPUTED_VALUE"""),30.0)</f>
        <v>30</v>
      </c>
      <c r="C403" s="36" t="s">
        <v>46</v>
      </c>
      <c r="D403" s="39">
        <v>0.435</v>
      </c>
      <c r="E403" s="36" t="s">
        <v>42</v>
      </c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7" t="s">
        <v>19</v>
      </c>
      <c r="B404" s="38">
        <f>IFERROR(__xludf.DUMMYFUNCTION("""COMPUTED_VALUE"""),10.0)</f>
        <v>10</v>
      </c>
      <c r="C404" s="36" t="s">
        <v>46</v>
      </c>
      <c r="D404" s="39">
        <v>0.473</v>
      </c>
      <c r="E404" s="36" t="s">
        <v>42</v>
      </c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7" t="s">
        <v>20</v>
      </c>
      <c r="B405" s="38">
        <f>IFERROR(__xludf.DUMMYFUNCTION("""COMPUTED_VALUE"""),20.0)</f>
        <v>20</v>
      </c>
      <c r="C405" s="36" t="s">
        <v>46</v>
      </c>
      <c r="D405" s="39">
        <v>0.473</v>
      </c>
      <c r="E405" s="36" t="s">
        <v>42</v>
      </c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7" t="s">
        <v>21</v>
      </c>
      <c r="B406" s="38">
        <f>IFERROR(__xludf.DUMMYFUNCTION("""COMPUTED_VALUE"""),30.0)</f>
        <v>30</v>
      </c>
      <c r="C406" s="36" t="s">
        <v>46</v>
      </c>
      <c r="D406" s="39">
        <v>0.473</v>
      </c>
      <c r="E406" s="36" t="s">
        <v>42</v>
      </c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7" t="s">
        <v>22</v>
      </c>
      <c r="B407" s="38">
        <f>IFERROR(__xludf.DUMMYFUNCTION("""COMPUTED_VALUE"""),10.0)</f>
        <v>10</v>
      </c>
      <c r="C407" s="36" t="s">
        <v>46</v>
      </c>
      <c r="D407" s="39">
        <v>0.512</v>
      </c>
      <c r="E407" s="36" t="s">
        <v>42</v>
      </c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7" t="s">
        <v>23</v>
      </c>
      <c r="B408" s="38">
        <f>IFERROR(__xludf.DUMMYFUNCTION("""COMPUTED_VALUE"""),20.0)</f>
        <v>20</v>
      </c>
      <c r="C408" s="36" t="s">
        <v>46</v>
      </c>
      <c r="D408" s="39">
        <v>0.512</v>
      </c>
      <c r="E408" s="36" t="s">
        <v>42</v>
      </c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7" t="s">
        <v>24</v>
      </c>
      <c r="B409" s="38">
        <f>IFERROR(__xludf.DUMMYFUNCTION("""COMPUTED_VALUE"""),30.0)</f>
        <v>30</v>
      </c>
      <c r="C409" s="36" t="s">
        <v>46</v>
      </c>
      <c r="D409" s="39">
        <v>0.512</v>
      </c>
      <c r="E409" s="36" t="s">
        <v>42</v>
      </c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7" t="s">
        <v>1</v>
      </c>
      <c r="B410" s="38">
        <f>IFERROR(__xludf.DUMMYFUNCTION("""COMPUTED_VALUE"""),10.0)</f>
        <v>10</v>
      </c>
      <c r="C410" s="36" t="s">
        <v>48</v>
      </c>
      <c r="D410" s="39">
        <v>19.1</v>
      </c>
      <c r="E410" s="36" t="s">
        <v>47</v>
      </c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7" t="s">
        <v>2</v>
      </c>
      <c r="B411" s="38">
        <f>IFERROR(__xludf.DUMMYFUNCTION("""COMPUTED_VALUE"""),20.0)</f>
        <v>20</v>
      </c>
      <c r="C411" s="36" t="s">
        <v>48</v>
      </c>
      <c r="D411" s="39">
        <v>19.1</v>
      </c>
      <c r="E411" s="36" t="s">
        <v>47</v>
      </c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7" t="s">
        <v>3</v>
      </c>
      <c r="B412" s="38">
        <f>IFERROR(__xludf.DUMMYFUNCTION("""COMPUTED_VALUE"""),30.0)</f>
        <v>30</v>
      </c>
      <c r="C412" s="36" t="s">
        <v>48</v>
      </c>
      <c r="D412" s="39">
        <v>19.1</v>
      </c>
      <c r="E412" s="36" t="s">
        <v>47</v>
      </c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7" t="s">
        <v>4</v>
      </c>
      <c r="B413" s="38">
        <f>IFERROR(__xludf.DUMMYFUNCTION("""COMPUTED_VALUE"""),10.0)</f>
        <v>10</v>
      </c>
      <c r="C413" s="36" t="s">
        <v>48</v>
      </c>
      <c r="D413" s="39">
        <v>18.1</v>
      </c>
      <c r="E413" s="36" t="s">
        <v>47</v>
      </c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7" t="s">
        <v>5</v>
      </c>
      <c r="B414" s="38">
        <f>IFERROR(__xludf.DUMMYFUNCTION("""COMPUTED_VALUE"""),20.0)</f>
        <v>20</v>
      </c>
      <c r="C414" s="36" t="s">
        <v>48</v>
      </c>
      <c r="D414" s="39">
        <v>18.1</v>
      </c>
      <c r="E414" s="36" t="s">
        <v>47</v>
      </c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7" t="s">
        <v>6</v>
      </c>
      <c r="B415" s="38">
        <f>IFERROR(__xludf.DUMMYFUNCTION("""COMPUTED_VALUE"""),30.0)</f>
        <v>30</v>
      </c>
      <c r="C415" s="36" t="s">
        <v>48</v>
      </c>
      <c r="D415" s="39">
        <v>18.1</v>
      </c>
      <c r="E415" s="36" t="s">
        <v>47</v>
      </c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7" t="s">
        <v>7</v>
      </c>
      <c r="B416" s="38">
        <f>IFERROR(__xludf.DUMMYFUNCTION("""COMPUTED_VALUE"""),10.0)</f>
        <v>10</v>
      </c>
      <c r="C416" s="36" t="s">
        <v>48</v>
      </c>
      <c r="D416" s="39">
        <v>17.9</v>
      </c>
      <c r="E416" s="36" t="s">
        <v>47</v>
      </c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7" t="s">
        <v>8</v>
      </c>
      <c r="B417" s="38">
        <f>IFERROR(__xludf.DUMMYFUNCTION("""COMPUTED_VALUE"""),20.0)</f>
        <v>20</v>
      </c>
      <c r="C417" s="36" t="s">
        <v>48</v>
      </c>
      <c r="D417" s="39">
        <v>17.9</v>
      </c>
      <c r="E417" s="36" t="s">
        <v>47</v>
      </c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7" t="s">
        <v>9</v>
      </c>
      <c r="B418" s="38">
        <f>IFERROR(__xludf.DUMMYFUNCTION("""COMPUTED_VALUE"""),30.0)</f>
        <v>30</v>
      </c>
      <c r="C418" s="36" t="s">
        <v>48</v>
      </c>
      <c r="D418" s="39">
        <v>17.9</v>
      </c>
      <c r="E418" s="36" t="s">
        <v>47</v>
      </c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7" t="s">
        <v>10</v>
      </c>
      <c r="B419" s="38">
        <f>IFERROR(__xludf.DUMMYFUNCTION("""COMPUTED_VALUE"""),10.0)</f>
        <v>10</v>
      </c>
      <c r="C419" s="36" t="s">
        <v>48</v>
      </c>
      <c r="D419" s="39">
        <v>18.2</v>
      </c>
      <c r="E419" s="36" t="s">
        <v>47</v>
      </c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7" t="s">
        <v>11</v>
      </c>
      <c r="B420" s="38">
        <f>IFERROR(__xludf.DUMMYFUNCTION("""COMPUTED_VALUE"""),20.0)</f>
        <v>20</v>
      </c>
      <c r="C420" s="36" t="s">
        <v>48</v>
      </c>
      <c r="D420" s="39">
        <v>18.2</v>
      </c>
      <c r="E420" s="36" t="s">
        <v>47</v>
      </c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7" t="s">
        <v>12</v>
      </c>
      <c r="B421" s="38">
        <f>IFERROR(__xludf.DUMMYFUNCTION("""COMPUTED_VALUE"""),30.0)</f>
        <v>30</v>
      </c>
      <c r="C421" s="36" t="s">
        <v>48</v>
      </c>
      <c r="D421" s="39">
        <v>18.2</v>
      </c>
      <c r="E421" s="36" t="s">
        <v>47</v>
      </c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7" t="s">
        <v>13</v>
      </c>
      <c r="B422" s="38">
        <f>IFERROR(__xludf.DUMMYFUNCTION("""COMPUTED_VALUE"""),10.0)</f>
        <v>10</v>
      </c>
      <c r="C422" s="36" t="s">
        <v>48</v>
      </c>
      <c r="D422" s="39">
        <v>20.0</v>
      </c>
      <c r="E422" s="36" t="s">
        <v>47</v>
      </c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7" t="s">
        <v>14</v>
      </c>
      <c r="B423" s="38">
        <f>IFERROR(__xludf.DUMMYFUNCTION("""COMPUTED_VALUE"""),20.0)</f>
        <v>20</v>
      </c>
      <c r="C423" s="36" t="s">
        <v>48</v>
      </c>
      <c r="D423" s="39">
        <v>20.0</v>
      </c>
      <c r="E423" s="36" t="s">
        <v>47</v>
      </c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7" t="s">
        <v>15</v>
      </c>
      <c r="B424" s="38">
        <f>IFERROR(__xludf.DUMMYFUNCTION("""COMPUTED_VALUE"""),30.0)</f>
        <v>30</v>
      </c>
      <c r="C424" s="36" t="s">
        <v>48</v>
      </c>
      <c r="D424" s="39">
        <v>20.0</v>
      </c>
      <c r="E424" s="36" t="s">
        <v>47</v>
      </c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7" t="s">
        <v>16</v>
      </c>
      <c r="B425" s="38">
        <f>IFERROR(__xludf.DUMMYFUNCTION("""COMPUTED_VALUE"""),10.0)</f>
        <v>10</v>
      </c>
      <c r="C425" s="36" t="s">
        <v>48</v>
      </c>
      <c r="D425" s="39">
        <v>21.2</v>
      </c>
      <c r="E425" s="36" t="s">
        <v>47</v>
      </c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7" t="s">
        <v>17</v>
      </c>
      <c r="B426" s="38">
        <f>IFERROR(__xludf.DUMMYFUNCTION("""COMPUTED_VALUE"""),20.0)</f>
        <v>20</v>
      </c>
      <c r="C426" s="36" t="s">
        <v>48</v>
      </c>
      <c r="D426" s="39">
        <v>21.2</v>
      </c>
      <c r="E426" s="36" t="s">
        <v>47</v>
      </c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7" t="s">
        <v>18</v>
      </c>
      <c r="B427" s="38">
        <f>IFERROR(__xludf.DUMMYFUNCTION("""COMPUTED_VALUE"""),30.0)</f>
        <v>30</v>
      </c>
      <c r="C427" s="36" t="s">
        <v>48</v>
      </c>
      <c r="D427" s="39">
        <v>21.2</v>
      </c>
      <c r="E427" s="36" t="s">
        <v>47</v>
      </c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7" t="s">
        <v>19</v>
      </c>
      <c r="B428" s="38">
        <f>IFERROR(__xludf.DUMMYFUNCTION("""COMPUTED_VALUE"""),10.0)</f>
        <v>10</v>
      </c>
      <c r="C428" s="36" t="s">
        <v>48</v>
      </c>
      <c r="D428" s="39">
        <v>19.6</v>
      </c>
      <c r="E428" s="36" t="s">
        <v>47</v>
      </c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7" t="s">
        <v>20</v>
      </c>
      <c r="B429" s="38">
        <f>IFERROR(__xludf.DUMMYFUNCTION("""COMPUTED_VALUE"""),20.0)</f>
        <v>20</v>
      </c>
      <c r="C429" s="36" t="s">
        <v>48</v>
      </c>
      <c r="D429" s="39">
        <v>19.6</v>
      </c>
      <c r="E429" s="36" t="s">
        <v>47</v>
      </c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7" t="s">
        <v>21</v>
      </c>
      <c r="B430" s="38">
        <f>IFERROR(__xludf.DUMMYFUNCTION("""COMPUTED_VALUE"""),30.0)</f>
        <v>30</v>
      </c>
      <c r="C430" s="36" t="s">
        <v>48</v>
      </c>
      <c r="D430" s="39">
        <v>19.6</v>
      </c>
      <c r="E430" s="36" t="s">
        <v>47</v>
      </c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7" t="s">
        <v>22</v>
      </c>
      <c r="B431" s="38">
        <f>IFERROR(__xludf.DUMMYFUNCTION("""COMPUTED_VALUE"""),10.0)</f>
        <v>10</v>
      </c>
      <c r="C431" s="36" t="s">
        <v>48</v>
      </c>
      <c r="D431" s="39">
        <v>14.4</v>
      </c>
      <c r="E431" s="36" t="s">
        <v>47</v>
      </c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7" t="s">
        <v>23</v>
      </c>
      <c r="B432" s="38">
        <f>IFERROR(__xludf.DUMMYFUNCTION("""COMPUTED_VALUE"""),20.0)</f>
        <v>20</v>
      </c>
      <c r="C432" s="36" t="s">
        <v>48</v>
      </c>
      <c r="D432" s="39">
        <v>14.4</v>
      </c>
      <c r="E432" s="36" t="s">
        <v>47</v>
      </c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7" t="s">
        <v>24</v>
      </c>
      <c r="B433" s="38">
        <f>IFERROR(__xludf.DUMMYFUNCTION("""COMPUTED_VALUE"""),30.0)</f>
        <v>30</v>
      </c>
      <c r="C433" s="36" t="s">
        <v>48</v>
      </c>
      <c r="D433" s="39">
        <v>14.4</v>
      </c>
      <c r="E433" s="36" t="s">
        <v>47</v>
      </c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7" t="s">
        <v>1</v>
      </c>
      <c r="B434" s="38">
        <f>IFERROR(__xludf.DUMMYFUNCTION("""COMPUTED_VALUE"""),10.0)</f>
        <v>10</v>
      </c>
      <c r="C434" s="36" t="s">
        <v>49</v>
      </c>
      <c r="D434" s="39">
        <v>17.8</v>
      </c>
      <c r="E434" s="36" t="s">
        <v>47</v>
      </c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7" t="s">
        <v>2</v>
      </c>
      <c r="B435" s="38">
        <f>IFERROR(__xludf.DUMMYFUNCTION("""COMPUTED_VALUE"""),20.0)</f>
        <v>20</v>
      </c>
      <c r="C435" s="36" t="s">
        <v>49</v>
      </c>
      <c r="D435" s="39">
        <v>17.8</v>
      </c>
      <c r="E435" s="36" t="s">
        <v>47</v>
      </c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7" t="s">
        <v>3</v>
      </c>
      <c r="B436" s="38">
        <f>IFERROR(__xludf.DUMMYFUNCTION("""COMPUTED_VALUE"""),30.0)</f>
        <v>30</v>
      </c>
      <c r="C436" s="36" t="s">
        <v>49</v>
      </c>
      <c r="D436" s="39">
        <v>17.8</v>
      </c>
      <c r="E436" s="36" t="s">
        <v>47</v>
      </c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7" t="s">
        <v>4</v>
      </c>
      <c r="B437" s="38">
        <f>IFERROR(__xludf.DUMMYFUNCTION("""COMPUTED_VALUE"""),10.0)</f>
        <v>10</v>
      </c>
      <c r="C437" s="36" t="s">
        <v>49</v>
      </c>
      <c r="D437" s="39">
        <v>16.9</v>
      </c>
      <c r="E437" s="36" t="s">
        <v>47</v>
      </c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7" t="s">
        <v>5</v>
      </c>
      <c r="B438" s="38">
        <f>IFERROR(__xludf.DUMMYFUNCTION("""COMPUTED_VALUE"""),20.0)</f>
        <v>20</v>
      </c>
      <c r="C438" s="36" t="s">
        <v>49</v>
      </c>
      <c r="D438" s="39">
        <v>16.9</v>
      </c>
      <c r="E438" s="36" t="s">
        <v>47</v>
      </c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7" t="s">
        <v>6</v>
      </c>
      <c r="B439" s="38">
        <f>IFERROR(__xludf.DUMMYFUNCTION("""COMPUTED_VALUE"""),30.0)</f>
        <v>30</v>
      </c>
      <c r="C439" s="36" t="s">
        <v>49</v>
      </c>
      <c r="D439" s="39">
        <v>16.9</v>
      </c>
      <c r="E439" s="36" t="s">
        <v>47</v>
      </c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7" t="s">
        <v>7</v>
      </c>
      <c r="B440" s="38">
        <f>IFERROR(__xludf.DUMMYFUNCTION("""COMPUTED_VALUE"""),10.0)</f>
        <v>10</v>
      </c>
      <c r="C440" s="36" t="s">
        <v>49</v>
      </c>
      <c r="D440" s="39">
        <v>16.5</v>
      </c>
      <c r="E440" s="36" t="s">
        <v>47</v>
      </c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7" t="s">
        <v>8</v>
      </c>
      <c r="B441" s="38">
        <f>IFERROR(__xludf.DUMMYFUNCTION("""COMPUTED_VALUE"""),20.0)</f>
        <v>20</v>
      </c>
      <c r="C441" s="36" t="s">
        <v>49</v>
      </c>
      <c r="D441" s="39">
        <v>16.5</v>
      </c>
      <c r="E441" s="36" t="s">
        <v>47</v>
      </c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7" t="s">
        <v>9</v>
      </c>
      <c r="B442" s="38">
        <f>IFERROR(__xludf.DUMMYFUNCTION("""COMPUTED_VALUE"""),30.0)</f>
        <v>30</v>
      </c>
      <c r="C442" s="36" t="s">
        <v>49</v>
      </c>
      <c r="D442" s="39">
        <v>16.5</v>
      </c>
      <c r="E442" s="36" t="s">
        <v>47</v>
      </c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7" t="s">
        <v>10</v>
      </c>
      <c r="B443" s="38">
        <f>IFERROR(__xludf.DUMMYFUNCTION("""COMPUTED_VALUE"""),10.0)</f>
        <v>10</v>
      </c>
      <c r="C443" s="36" t="s">
        <v>49</v>
      </c>
      <c r="D443" s="39">
        <v>16.8</v>
      </c>
      <c r="E443" s="36" t="s">
        <v>47</v>
      </c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7" t="s">
        <v>11</v>
      </c>
      <c r="B444" s="38">
        <f>IFERROR(__xludf.DUMMYFUNCTION("""COMPUTED_VALUE"""),20.0)</f>
        <v>20</v>
      </c>
      <c r="C444" s="36" t="s">
        <v>49</v>
      </c>
      <c r="D444" s="39">
        <v>16.8</v>
      </c>
      <c r="E444" s="36" t="s">
        <v>47</v>
      </c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7" t="s">
        <v>12</v>
      </c>
      <c r="B445" s="38">
        <f>IFERROR(__xludf.DUMMYFUNCTION("""COMPUTED_VALUE"""),30.0)</f>
        <v>30</v>
      </c>
      <c r="C445" s="36" t="s">
        <v>49</v>
      </c>
      <c r="D445" s="39">
        <v>16.8</v>
      </c>
      <c r="E445" s="36" t="s">
        <v>47</v>
      </c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7" t="s">
        <v>13</v>
      </c>
      <c r="B446" s="38">
        <f>IFERROR(__xludf.DUMMYFUNCTION("""COMPUTED_VALUE"""),10.0)</f>
        <v>10</v>
      </c>
      <c r="C446" s="36" t="s">
        <v>49</v>
      </c>
      <c r="D446" s="39">
        <v>18.7</v>
      </c>
      <c r="E446" s="36" t="s">
        <v>47</v>
      </c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7" t="s">
        <v>14</v>
      </c>
      <c r="B447" s="38">
        <f>IFERROR(__xludf.DUMMYFUNCTION("""COMPUTED_VALUE"""),20.0)</f>
        <v>20</v>
      </c>
      <c r="C447" s="36" t="s">
        <v>49</v>
      </c>
      <c r="D447" s="39">
        <v>18.7</v>
      </c>
      <c r="E447" s="36" t="s">
        <v>47</v>
      </c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7" t="s">
        <v>15</v>
      </c>
      <c r="B448" s="38">
        <f>IFERROR(__xludf.DUMMYFUNCTION("""COMPUTED_VALUE"""),30.0)</f>
        <v>30</v>
      </c>
      <c r="C448" s="36" t="s">
        <v>49</v>
      </c>
      <c r="D448" s="39">
        <v>18.7</v>
      </c>
      <c r="E448" s="36" t="s">
        <v>47</v>
      </c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7" t="s">
        <v>16</v>
      </c>
      <c r="B449" s="38">
        <f>IFERROR(__xludf.DUMMYFUNCTION("""COMPUTED_VALUE"""),10.0)</f>
        <v>10</v>
      </c>
      <c r="C449" s="36" t="s">
        <v>49</v>
      </c>
      <c r="D449" s="39">
        <v>19.5</v>
      </c>
      <c r="E449" s="36" t="s">
        <v>47</v>
      </c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7" t="s">
        <v>17</v>
      </c>
      <c r="B450" s="38">
        <f>IFERROR(__xludf.DUMMYFUNCTION("""COMPUTED_VALUE"""),20.0)</f>
        <v>20</v>
      </c>
      <c r="C450" s="36" t="s">
        <v>49</v>
      </c>
      <c r="D450" s="39">
        <v>19.5</v>
      </c>
      <c r="E450" s="36" t="s">
        <v>47</v>
      </c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7" t="s">
        <v>18</v>
      </c>
      <c r="B451" s="38">
        <f>IFERROR(__xludf.DUMMYFUNCTION("""COMPUTED_VALUE"""),30.0)</f>
        <v>30</v>
      </c>
      <c r="C451" s="36" t="s">
        <v>49</v>
      </c>
      <c r="D451" s="39">
        <v>19.5</v>
      </c>
      <c r="E451" s="36" t="s">
        <v>47</v>
      </c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7" t="s">
        <v>19</v>
      </c>
      <c r="B452" s="38">
        <f>IFERROR(__xludf.DUMMYFUNCTION("""COMPUTED_VALUE"""),10.0)</f>
        <v>10</v>
      </c>
      <c r="C452" s="36" t="s">
        <v>49</v>
      </c>
      <c r="D452" s="39">
        <v>17.9</v>
      </c>
      <c r="E452" s="36" t="s">
        <v>47</v>
      </c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7" t="s">
        <v>20</v>
      </c>
      <c r="B453" s="38">
        <f>IFERROR(__xludf.DUMMYFUNCTION("""COMPUTED_VALUE"""),20.0)</f>
        <v>20</v>
      </c>
      <c r="C453" s="36" t="s">
        <v>49</v>
      </c>
      <c r="D453" s="39">
        <v>17.9</v>
      </c>
      <c r="E453" s="36" t="s">
        <v>47</v>
      </c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7" t="s">
        <v>21</v>
      </c>
      <c r="B454" s="38">
        <f>IFERROR(__xludf.DUMMYFUNCTION("""COMPUTED_VALUE"""),30.0)</f>
        <v>30</v>
      </c>
      <c r="C454" s="36" t="s">
        <v>49</v>
      </c>
      <c r="D454" s="39">
        <v>17.9</v>
      </c>
      <c r="E454" s="36" t="s">
        <v>47</v>
      </c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7" t="s">
        <v>22</v>
      </c>
      <c r="B455" s="38">
        <f>IFERROR(__xludf.DUMMYFUNCTION("""COMPUTED_VALUE"""),10.0)</f>
        <v>10</v>
      </c>
      <c r="C455" s="36" t="s">
        <v>49</v>
      </c>
      <c r="D455" s="39">
        <v>13.4</v>
      </c>
      <c r="E455" s="36" t="s">
        <v>47</v>
      </c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7" t="s">
        <v>23</v>
      </c>
      <c r="B456" s="38">
        <f>IFERROR(__xludf.DUMMYFUNCTION("""COMPUTED_VALUE"""),20.0)</f>
        <v>20</v>
      </c>
      <c r="C456" s="36" t="s">
        <v>49</v>
      </c>
      <c r="D456" s="39">
        <v>13.4</v>
      </c>
      <c r="E456" s="36" t="s">
        <v>47</v>
      </c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7" t="s">
        <v>24</v>
      </c>
      <c r="B457" s="38">
        <f>IFERROR(__xludf.DUMMYFUNCTION("""COMPUTED_VALUE"""),30.0)</f>
        <v>30</v>
      </c>
      <c r="C457" s="36" t="s">
        <v>49</v>
      </c>
      <c r="D457" s="39">
        <v>13.4</v>
      </c>
      <c r="E457" s="36" t="s">
        <v>47</v>
      </c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7" t="s">
        <v>1</v>
      </c>
      <c r="B458" s="38">
        <f>IFERROR(__xludf.DUMMYFUNCTION("""COMPUTED_VALUE"""),10.0)</f>
        <v>10</v>
      </c>
      <c r="C458" s="36" t="s">
        <v>51</v>
      </c>
      <c r="D458" s="39">
        <v>0.052</v>
      </c>
      <c r="E458" s="36" t="s">
        <v>50</v>
      </c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7" t="s">
        <v>2</v>
      </c>
      <c r="B459" s="38">
        <f>IFERROR(__xludf.DUMMYFUNCTION("""COMPUTED_VALUE"""),20.0)</f>
        <v>20</v>
      </c>
      <c r="C459" s="36" t="s">
        <v>51</v>
      </c>
      <c r="D459" s="39">
        <v>0.052</v>
      </c>
      <c r="E459" s="36" t="s">
        <v>50</v>
      </c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7" t="s">
        <v>3</v>
      </c>
      <c r="B460" s="38">
        <f>IFERROR(__xludf.DUMMYFUNCTION("""COMPUTED_VALUE"""),30.0)</f>
        <v>30</v>
      </c>
      <c r="C460" s="36" t="s">
        <v>51</v>
      </c>
      <c r="D460" s="39">
        <v>0.052</v>
      </c>
      <c r="E460" s="36" t="s">
        <v>50</v>
      </c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7" t="s">
        <v>4</v>
      </c>
      <c r="B461" s="38">
        <f>IFERROR(__xludf.DUMMYFUNCTION("""COMPUTED_VALUE"""),10.0)</f>
        <v>10</v>
      </c>
      <c r="C461" s="36" t="s">
        <v>51</v>
      </c>
      <c r="D461" s="39">
        <v>0.085</v>
      </c>
      <c r="E461" s="36" t="s">
        <v>50</v>
      </c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7" t="s">
        <v>5</v>
      </c>
      <c r="B462" s="38">
        <f>IFERROR(__xludf.DUMMYFUNCTION("""COMPUTED_VALUE"""),20.0)</f>
        <v>20</v>
      </c>
      <c r="C462" s="36" t="s">
        <v>51</v>
      </c>
      <c r="D462" s="39">
        <v>0.085</v>
      </c>
      <c r="E462" s="36" t="s">
        <v>50</v>
      </c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7" t="s">
        <v>6</v>
      </c>
      <c r="B463" s="38">
        <f>IFERROR(__xludf.DUMMYFUNCTION("""COMPUTED_VALUE"""),30.0)</f>
        <v>30</v>
      </c>
      <c r="C463" s="36" t="s">
        <v>51</v>
      </c>
      <c r="D463" s="39">
        <v>0.085</v>
      </c>
      <c r="E463" s="36" t="s">
        <v>50</v>
      </c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7" t="s">
        <v>7</v>
      </c>
      <c r="B464" s="38">
        <f>IFERROR(__xludf.DUMMYFUNCTION("""COMPUTED_VALUE"""),10.0)</f>
        <v>10</v>
      </c>
      <c r="C464" s="36" t="s">
        <v>51</v>
      </c>
      <c r="D464" s="39">
        <v>0.094</v>
      </c>
      <c r="E464" s="36" t="s">
        <v>50</v>
      </c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7" t="s">
        <v>8</v>
      </c>
      <c r="B465" s="38">
        <f>IFERROR(__xludf.DUMMYFUNCTION("""COMPUTED_VALUE"""),20.0)</f>
        <v>20</v>
      </c>
      <c r="C465" s="36" t="s">
        <v>51</v>
      </c>
      <c r="D465" s="39">
        <v>0.094</v>
      </c>
      <c r="E465" s="36" t="s">
        <v>50</v>
      </c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7" t="s">
        <v>9</v>
      </c>
      <c r="B466" s="38">
        <f>IFERROR(__xludf.DUMMYFUNCTION("""COMPUTED_VALUE"""),30.0)</f>
        <v>30</v>
      </c>
      <c r="C466" s="36" t="s">
        <v>51</v>
      </c>
      <c r="D466" s="39">
        <v>0.094</v>
      </c>
      <c r="E466" s="36" t="s">
        <v>50</v>
      </c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7" t="s">
        <v>10</v>
      </c>
      <c r="B467" s="38">
        <f>IFERROR(__xludf.DUMMYFUNCTION("""COMPUTED_VALUE"""),10.0)</f>
        <v>10</v>
      </c>
      <c r="C467" s="36" t="s">
        <v>51</v>
      </c>
      <c r="D467" s="39">
        <v>0.092</v>
      </c>
      <c r="E467" s="36" t="s">
        <v>50</v>
      </c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7" t="s">
        <v>11</v>
      </c>
      <c r="B468" s="38">
        <f>IFERROR(__xludf.DUMMYFUNCTION("""COMPUTED_VALUE"""),20.0)</f>
        <v>20</v>
      </c>
      <c r="C468" s="36" t="s">
        <v>51</v>
      </c>
      <c r="D468" s="39">
        <v>0.092</v>
      </c>
      <c r="E468" s="36" t="s">
        <v>50</v>
      </c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7" t="s">
        <v>12</v>
      </c>
      <c r="B469" s="38">
        <f>IFERROR(__xludf.DUMMYFUNCTION("""COMPUTED_VALUE"""),30.0)</f>
        <v>30</v>
      </c>
      <c r="C469" s="36" t="s">
        <v>51</v>
      </c>
      <c r="D469" s="39">
        <v>0.092</v>
      </c>
      <c r="E469" s="36" t="s">
        <v>50</v>
      </c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7" t="s">
        <v>13</v>
      </c>
      <c r="B470" s="38">
        <f>IFERROR(__xludf.DUMMYFUNCTION("""COMPUTED_VALUE"""),10.0)</f>
        <v>10</v>
      </c>
      <c r="C470" s="36" t="s">
        <v>51</v>
      </c>
      <c r="D470" s="39">
        <v>0.098</v>
      </c>
      <c r="E470" s="36" t="s">
        <v>50</v>
      </c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7" t="s">
        <v>14</v>
      </c>
      <c r="B471" s="38">
        <f>IFERROR(__xludf.DUMMYFUNCTION("""COMPUTED_VALUE"""),20.0)</f>
        <v>20</v>
      </c>
      <c r="C471" s="36" t="s">
        <v>51</v>
      </c>
      <c r="D471" s="39">
        <v>0.098</v>
      </c>
      <c r="E471" s="36" t="s">
        <v>50</v>
      </c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7" t="s">
        <v>15</v>
      </c>
      <c r="B472" s="38">
        <f>IFERROR(__xludf.DUMMYFUNCTION("""COMPUTED_VALUE"""),30.0)</f>
        <v>30</v>
      </c>
      <c r="C472" s="36" t="s">
        <v>51</v>
      </c>
      <c r="D472" s="39">
        <v>0.098</v>
      </c>
      <c r="E472" s="36" t="s">
        <v>50</v>
      </c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7" t="s">
        <v>16</v>
      </c>
      <c r="B473" s="38">
        <f>IFERROR(__xludf.DUMMYFUNCTION("""COMPUTED_VALUE"""),10.0)</f>
        <v>10</v>
      </c>
      <c r="C473" s="36" t="s">
        <v>51</v>
      </c>
      <c r="D473" s="39">
        <v>0.072</v>
      </c>
      <c r="E473" s="36" t="s">
        <v>50</v>
      </c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7" t="s">
        <v>17</v>
      </c>
      <c r="B474" s="38">
        <f>IFERROR(__xludf.DUMMYFUNCTION("""COMPUTED_VALUE"""),20.0)</f>
        <v>20</v>
      </c>
      <c r="C474" s="36" t="s">
        <v>51</v>
      </c>
      <c r="D474" s="39">
        <v>0.072</v>
      </c>
      <c r="E474" s="36" t="s">
        <v>50</v>
      </c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7" t="s">
        <v>18</v>
      </c>
      <c r="B475" s="38">
        <f>IFERROR(__xludf.DUMMYFUNCTION("""COMPUTED_VALUE"""),30.0)</f>
        <v>30</v>
      </c>
      <c r="C475" s="36" t="s">
        <v>51</v>
      </c>
      <c r="D475" s="39">
        <v>0.072</v>
      </c>
      <c r="E475" s="36" t="s">
        <v>50</v>
      </c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7" t="s">
        <v>19</v>
      </c>
      <c r="B476" s="38">
        <f>IFERROR(__xludf.DUMMYFUNCTION("""COMPUTED_VALUE"""),10.0)</f>
        <v>10</v>
      </c>
      <c r="C476" s="36" t="s">
        <v>51</v>
      </c>
      <c r="D476" s="39">
        <v>0.074</v>
      </c>
      <c r="E476" s="36" t="s">
        <v>50</v>
      </c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7" t="s">
        <v>20</v>
      </c>
      <c r="B477" s="38">
        <f>IFERROR(__xludf.DUMMYFUNCTION("""COMPUTED_VALUE"""),20.0)</f>
        <v>20</v>
      </c>
      <c r="C477" s="36" t="s">
        <v>51</v>
      </c>
      <c r="D477" s="39">
        <v>0.074</v>
      </c>
      <c r="E477" s="36" t="s">
        <v>50</v>
      </c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7" t="s">
        <v>21</v>
      </c>
      <c r="B478" s="38">
        <f>IFERROR(__xludf.DUMMYFUNCTION("""COMPUTED_VALUE"""),30.0)</f>
        <v>30</v>
      </c>
      <c r="C478" s="36" t="s">
        <v>51</v>
      </c>
      <c r="D478" s="39">
        <v>0.074</v>
      </c>
      <c r="E478" s="36" t="s">
        <v>50</v>
      </c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7" t="s">
        <v>22</v>
      </c>
      <c r="B479" s="38">
        <f>IFERROR(__xludf.DUMMYFUNCTION("""COMPUTED_VALUE"""),10.0)</f>
        <v>10</v>
      </c>
      <c r="C479" s="36" t="s">
        <v>51</v>
      </c>
      <c r="D479" s="39">
        <v>0.266</v>
      </c>
      <c r="E479" s="36" t="s">
        <v>50</v>
      </c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7" t="s">
        <v>23</v>
      </c>
      <c r="B480" s="38">
        <f>IFERROR(__xludf.DUMMYFUNCTION("""COMPUTED_VALUE"""),20.0)</f>
        <v>20</v>
      </c>
      <c r="C480" s="36" t="s">
        <v>51</v>
      </c>
      <c r="D480" s="39">
        <v>0.266</v>
      </c>
      <c r="E480" s="36" t="s">
        <v>50</v>
      </c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7" t="s">
        <v>24</v>
      </c>
      <c r="B481" s="38">
        <f>IFERROR(__xludf.DUMMYFUNCTION("""COMPUTED_VALUE"""),30.0)</f>
        <v>30</v>
      </c>
      <c r="C481" s="36" t="s">
        <v>51</v>
      </c>
      <c r="D481" s="39">
        <v>0.266</v>
      </c>
      <c r="E481" s="36" t="s">
        <v>50</v>
      </c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7" t="s">
        <v>1</v>
      </c>
      <c r="B482" s="38">
        <f>IFERROR(__xludf.DUMMYFUNCTION("""COMPUTED_VALUE"""),10.0)</f>
        <v>10</v>
      </c>
      <c r="C482" s="36" t="s">
        <v>52</v>
      </c>
      <c r="D482" s="39">
        <v>0.716</v>
      </c>
      <c r="E482" s="36" t="s">
        <v>50</v>
      </c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7" t="s">
        <v>2</v>
      </c>
      <c r="B483" s="38">
        <f>IFERROR(__xludf.DUMMYFUNCTION("""COMPUTED_VALUE"""),20.0)</f>
        <v>20</v>
      </c>
      <c r="C483" s="36" t="s">
        <v>52</v>
      </c>
      <c r="D483" s="39">
        <v>0.716</v>
      </c>
      <c r="E483" s="36" t="s">
        <v>50</v>
      </c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7" t="s">
        <v>3</v>
      </c>
      <c r="B484" s="38">
        <f>IFERROR(__xludf.DUMMYFUNCTION("""COMPUTED_VALUE"""),30.0)</f>
        <v>30</v>
      </c>
      <c r="C484" s="36" t="s">
        <v>52</v>
      </c>
      <c r="D484" s="39">
        <v>0.716</v>
      </c>
      <c r="E484" s="36" t="s">
        <v>50</v>
      </c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7" t="s">
        <v>4</v>
      </c>
      <c r="B485" s="38">
        <f>IFERROR(__xludf.DUMMYFUNCTION("""COMPUTED_VALUE"""),10.0)</f>
        <v>10</v>
      </c>
      <c r="C485" s="36" t="s">
        <v>52</v>
      </c>
      <c r="D485" s="39">
        <v>0.714</v>
      </c>
      <c r="E485" s="36" t="s">
        <v>50</v>
      </c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7" t="s">
        <v>5</v>
      </c>
      <c r="B486" s="38">
        <f>IFERROR(__xludf.DUMMYFUNCTION("""COMPUTED_VALUE"""),20.0)</f>
        <v>20</v>
      </c>
      <c r="C486" s="36" t="s">
        <v>52</v>
      </c>
      <c r="D486" s="39">
        <v>0.714</v>
      </c>
      <c r="E486" s="36" t="s">
        <v>50</v>
      </c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7" t="s">
        <v>6</v>
      </c>
      <c r="B487" s="38">
        <f>IFERROR(__xludf.DUMMYFUNCTION("""COMPUTED_VALUE"""),30.0)</f>
        <v>30</v>
      </c>
      <c r="C487" s="36" t="s">
        <v>52</v>
      </c>
      <c r="D487" s="39">
        <v>0.714</v>
      </c>
      <c r="E487" s="36" t="s">
        <v>50</v>
      </c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7" t="s">
        <v>7</v>
      </c>
      <c r="B488" s="38">
        <f>IFERROR(__xludf.DUMMYFUNCTION("""COMPUTED_VALUE"""),10.0)</f>
        <v>10</v>
      </c>
      <c r="C488" s="36" t="s">
        <v>52</v>
      </c>
      <c r="D488" s="39">
        <v>0.604</v>
      </c>
      <c r="E488" s="36" t="s">
        <v>50</v>
      </c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7" t="s">
        <v>8</v>
      </c>
      <c r="B489" s="38">
        <f>IFERROR(__xludf.DUMMYFUNCTION("""COMPUTED_VALUE"""),20.0)</f>
        <v>20</v>
      </c>
      <c r="C489" s="36" t="s">
        <v>52</v>
      </c>
      <c r="D489" s="39">
        <v>0.604</v>
      </c>
      <c r="E489" s="36" t="s">
        <v>50</v>
      </c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7" t="s">
        <v>9</v>
      </c>
      <c r="B490" s="38">
        <f>IFERROR(__xludf.DUMMYFUNCTION("""COMPUTED_VALUE"""),30.0)</f>
        <v>30</v>
      </c>
      <c r="C490" s="36" t="s">
        <v>52</v>
      </c>
      <c r="D490" s="39">
        <v>0.604</v>
      </c>
      <c r="E490" s="36" t="s">
        <v>50</v>
      </c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7" t="s">
        <v>10</v>
      </c>
      <c r="B491" s="38">
        <f>IFERROR(__xludf.DUMMYFUNCTION("""COMPUTED_VALUE"""),10.0)</f>
        <v>10</v>
      </c>
      <c r="C491" s="36" t="s">
        <v>52</v>
      </c>
      <c r="D491" s="39">
        <v>0.602</v>
      </c>
      <c r="E491" s="36" t="s">
        <v>50</v>
      </c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7" t="s">
        <v>11</v>
      </c>
      <c r="B492" s="38">
        <f>IFERROR(__xludf.DUMMYFUNCTION("""COMPUTED_VALUE"""),20.0)</f>
        <v>20</v>
      </c>
      <c r="C492" s="36" t="s">
        <v>52</v>
      </c>
      <c r="D492" s="39">
        <v>0.602</v>
      </c>
      <c r="E492" s="36" t="s">
        <v>50</v>
      </c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7" t="s">
        <v>12</v>
      </c>
      <c r="B493" s="38">
        <f>IFERROR(__xludf.DUMMYFUNCTION("""COMPUTED_VALUE"""),30.0)</f>
        <v>30</v>
      </c>
      <c r="C493" s="36" t="s">
        <v>52</v>
      </c>
      <c r="D493" s="39">
        <v>0.602</v>
      </c>
      <c r="E493" s="36" t="s">
        <v>50</v>
      </c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7" t="s">
        <v>13</v>
      </c>
      <c r="B494" s="38">
        <f>IFERROR(__xludf.DUMMYFUNCTION("""COMPUTED_VALUE"""),10.0)</f>
        <v>10</v>
      </c>
      <c r="C494" s="36" t="s">
        <v>52</v>
      </c>
      <c r="D494" s="39">
        <v>0.723</v>
      </c>
      <c r="E494" s="36" t="s">
        <v>50</v>
      </c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7" t="s">
        <v>14</v>
      </c>
      <c r="B495" s="38">
        <f>IFERROR(__xludf.DUMMYFUNCTION("""COMPUTED_VALUE"""),20.0)</f>
        <v>20</v>
      </c>
      <c r="C495" s="36" t="s">
        <v>52</v>
      </c>
      <c r="D495" s="39">
        <v>0.723</v>
      </c>
      <c r="E495" s="36" t="s">
        <v>50</v>
      </c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7" t="s">
        <v>15</v>
      </c>
      <c r="B496" s="38">
        <f>IFERROR(__xludf.DUMMYFUNCTION("""COMPUTED_VALUE"""),30.0)</f>
        <v>30</v>
      </c>
      <c r="C496" s="36" t="s">
        <v>52</v>
      </c>
      <c r="D496" s="39">
        <v>0.723</v>
      </c>
      <c r="E496" s="36" t="s">
        <v>50</v>
      </c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7" t="s">
        <v>16</v>
      </c>
      <c r="B497" s="38">
        <f>IFERROR(__xludf.DUMMYFUNCTION("""COMPUTED_VALUE"""),10.0)</f>
        <v>10</v>
      </c>
      <c r="C497" s="36" t="s">
        <v>52</v>
      </c>
      <c r="D497" s="39">
        <v>0.731</v>
      </c>
      <c r="E497" s="36" t="s">
        <v>50</v>
      </c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7" t="s">
        <v>17</v>
      </c>
      <c r="B498" s="38">
        <f>IFERROR(__xludf.DUMMYFUNCTION("""COMPUTED_VALUE"""),20.0)</f>
        <v>20</v>
      </c>
      <c r="C498" s="36" t="s">
        <v>52</v>
      </c>
      <c r="D498" s="39">
        <v>0.731</v>
      </c>
      <c r="E498" s="36" t="s">
        <v>50</v>
      </c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7" t="s">
        <v>18</v>
      </c>
      <c r="B499" s="38">
        <f>IFERROR(__xludf.DUMMYFUNCTION("""COMPUTED_VALUE"""),30.0)</f>
        <v>30</v>
      </c>
      <c r="C499" s="36" t="s">
        <v>52</v>
      </c>
      <c r="D499" s="39">
        <v>0.731</v>
      </c>
      <c r="E499" s="36" t="s">
        <v>50</v>
      </c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7" t="s">
        <v>19</v>
      </c>
      <c r="B500" s="38">
        <f>IFERROR(__xludf.DUMMYFUNCTION("""COMPUTED_VALUE"""),10.0)</f>
        <v>10</v>
      </c>
      <c r="C500" s="36" t="s">
        <v>52</v>
      </c>
      <c r="D500" s="39">
        <v>0.727</v>
      </c>
      <c r="E500" s="36" t="s">
        <v>50</v>
      </c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7" t="s">
        <v>20</v>
      </c>
      <c r="B501" s="38">
        <f>IFERROR(__xludf.DUMMYFUNCTION("""COMPUTED_VALUE"""),20.0)</f>
        <v>20</v>
      </c>
      <c r="C501" s="36" t="s">
        <v>52</v>
      </c>
      <c r="D501" s="39">
        <v>0.727</v>
      </c>
      <c r="E501" s="36" t="s">
        <v>50</v>
      </c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7" t="s">
        <v>21</v>
      </c>
      <c r="B502" s="38">
        <f>IFERROR(__xludf.DUMMYFUNCTION("""COMPUTED_VALUE"""),30.0)</f>
        <v>30</v>
      </c>
      <c r="C502" s="36" t="s">
        <v>52</v>
      </c>
      <c r="D502" s="39">
        <v>0.727</v>
      </c>
      <c r="E502" s="36" t="s">
        <v>50</v>
      </c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7" t="s">
        <v>22</v>
      </c>
      <c r="B503" s="38">
        <f>IFERROR(__xludf.DUMMYFUNCTION("""COMPUTED_VALUE"""),10.0)</f>
        <v>10</v>
      </c>
      <c r="C503" s="36" t="s">
        <v>52</v>
      </c>
      <c r="D503" s="39">
        <v>0.477</v>
      </c>
      <c r="E503" s="36" t="s">
        <v>50</v>
      </c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7" t="s">
        <v>23</v>
      </c>
      <c r="B504" s="38">
        <f>IFERROR(__xludf.DUMMYFUNCTION("""COMPUTED_VALUE"""),20.0)</f>
        <v>20</v>
      </c>
      <c r="C504" s="36" t="s">
        <v>52</v>
      </c>
      <c r="D504" s="39">
        <v>0.477</v>
      </c>
      <c r="E504" s="36" t="s">
        <v>50</v>
      </c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7" t="s">
        <v>24</v>
      </c>
      <c r="B505" s="38">
        <f>IFERROR(__xludf.DUMMYFUNCTION("""COMPUTED_VALUE"""),30.0)</f>
        <v>30</v>
      </c>
      <c r="C505" s="36" t="s">
        <v>52</v>
      </c>
      <c r="D505" s="39">
        <v>0.477</v>
      </c>
      <c r="E505" s="36" t="s">
        <v>50</v>
      </c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7" t="s">
        <v>1</v>
      </c>
      <c r="B506" s="38">
        <f>IFERROR(__xludf.DUMMYFUNCTION("""COMPUTED_VALUE"""),10.0)</f>
        <v>10</v>
      </c>
      <c r="C506" s="36" t="s">
        <v>53</v>
      </c>
      <c r="D506" s="39">
        <v>0.228</v>
      </c>
      <c r="E506" s="36" t="s">
        <v>50</v>
      </c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7" t="s">
        <v>2</v>
      </c>
      <c r="B507" s="38">
        <f>IFERROR(__xludf.DUMMYFUNCTION("""COMPUTED_VALUE"""),20.0)</f>
        <v>20</v>
      </c>
      <c r="C507" s="36" t="s">
        <v>53</v>
      </c>
      <c r="D507" s="39">
        <v>0.228</v>
      </c>
      <c r="E507" s="36" t="s">
        <v>50</v>
      </c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7" t="s">
        <v>3</v>
      </c>
      <c r="B508" s="38">
        <f>IFERROR(__xludf.DUMMYFUNCTION("""COMPUTED_VALUE"""),30.0)</f>
        <v>30</v>
      </c>
      <c r="C508" s="36" t="s">
        <v>53</v>
      </c>
      <c r="D508" s="39">
        <v>0.228</v>
      </c>
      <c r="E508" s="36" t="s">
        <v>50</v>
      </c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7" t="s">
        <v>4</v>
      </c>
      <c r="B509" s="38">
        <f>IFERROR(__xludf.DUMMYFUNCTION("""COMPUTED_VALUE"""),10.0)</f>
        <v>10</v>
      </c>
      <c r="C509" s="36" t="s">
        <v>53</v>
      </c>
      <c r="D509" s="39">
        <v>0.158</v>
      </c>
      <c r="E509" s="36" t="s">
        <v>50</v>
      </c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7" t="s">
        <v>5</v>
      </c>
      <c r="B510" s="38">
        <f>IFERROR(__xludf.DUMMYFUNCTION("""COMPUTED_VALUE"""),20.0)</f>
        <v>20</v>
      </c>
      <c r="C510" s="36" t="s">
        <v>53</v>
      </c>
      <c r="D510" s="39">
        <v>0.158</v>
      </c>
      <c r="E510" s="36" t="s">
        <v>50</v>
      </c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7" t="s">
        <v>6</v>
      </c>
      <c r="B511" s="38">
        <f>IFERROR(__xludf.DUMMYFUNCTION("""COMPUTED_VALUE"""),30.0)</f>
        <v>30</v>
      </c>
      <c r="C511" s="36" t="s">
        <v>53</v>
      </c>
      <c r="D511" s="39">
        <v>0.158</v>
      </c>
      <c r="E511" s="36" t="s">
        <v>50</v>
      </c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7" t="s">
        <v>7</v>
      </c>
      <c r="B512" s="38">
        <f>IFERROR(__xludf.DUMMYFUNCTION("""COMPUTED_VALUE"""),10.0)</f>
        <v>10</v>
      </c>
      <c r="C512" s="36" t="s">
        <v>53</v>
      </c>
      <c r="D512" s="39">
        <v>0.248</v>
      </c>
      <c r="E512" s="36" t="s">
        <v>50</v>
      </c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7" t="s">
        <v>8</v>
      </c>
      <c r="B513" s="38">
        <f>IFERROR(__xludf.DUMMYFUNCTION("""COMPUTED_VALUE"""),20.0)</f>
        <v>20</v>
      </c>
      <c r="C513" s="36" t="s">
        <v>53</v>
      </c>
      <c r="D513" s="39">
        <v>0.248</v>
      </c>
      <c r="E513" s="36" t="s">
        <v>50</v>
      </c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7" t="s">
        <v>9</v>
      </c>
      <c r="B514" s="38">
        <f>IFERROR(__xludf.DUMMYFUNCTION("""COMPUTED_VALUE"""),30.0)</f>
        <v>30</v>
      </c>
      <c r="C514" s="36" t="s">
        <v>53</v>
      </c>
      <c r="D514" s="39">
        <v>0.248</v>
      </c>
      <c r="E514" s="36" t="s">
        <v>50</v>
      </c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7" t="s">
        <v>10</v>
      </c>
      <c r="B515" s="38">
        <f>IFERROR(__xludf.DUMMYFUNCTION("""COMPUTED_VALUE"""),10.0)</f>
        <v>10</v>
      </c>
      <c r="C515" s="36" t="s">
        <v>53</v>
      </c>
      <c r="D515" s="39">
        <v>0.245</v>
      </c>
      <c r="E515" s="36" t="s">
        <v>50</v>
      </c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7" t="s">
        <v>11</v>
      </c>
      <c r="B516" s="38">
        <f>IFERROR(__xludf.DUMMYFUNCTION("""COMPUTED_VALUE"""),20.0)</f>
        <v>20</v>
      </c>
      <c r="C516" s="36" t="s">
        <v>53</v>
      </c>
      <c r="D516" s="39">
        <v>0.245</v>
      </c>
      <c r="E516" s="36" t="s">
        <v>50</v>
      </c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7" t="s">
        <v>12</v>
      </c>
      <c r="B517" s="38">
        <f>IFERROR(__xludf.DUMMYFUNCTION("""COMPUTED_VALUE"""),30.0)</f>
        <v>30</v>
      </c>
      <c r="C517" s="36" t="s">
        <v>53</v>
      </c>
      <c r="D517" s="39">
        <v>0.245</v>
      </c>
      <c r="E517" s="36" t="s">
        <v>50</v>
      </c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7" t="s">
        <v>13</v>
      </c>
      <c r="B518" s="38">
        <f>IFERROR(__xludf.DUMMYFUNCTION("""COMPUTED_VALUE"""),10.0)</f>
        <v>10</v>
      </c>
      <c r="C518" s="36" t="s">
        <v>53</v>
      </c>
      <c r="D518" s="39">
        <v>0.161</v>
      </c>
      <c r="E518" s="36" t="s">
        <v>50</v>
      </c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7" t="s">
        <v>14</v>
      </c>
      <c r="B519" s="38">
        <f>IFERROR(__xludf.DUMMYFUNCTION("""COMPUTED_VALUE"""),20.0)</f>
        <v>20</v>
      </c>
      <c r="C519" s="36" t="s">
        <v>53</v>
      </c>
      <c r="D519" s="39">
        <v>0.161</v>
      </c>
      <c r="E519" s="36" t="s">
        <v>50</v>
      </c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7" t="s">
        <v>15</v>
      </c>
      <c r="B520" s="38">
        <f>IFERROR(__xludf.DUMMYFUNCTION("""COMPUTED_VALUE"""),30.0)</f>
        <v>30</v>
      </c>
      <c r="C520" s="36" t="s">
        <v>53</v>
      </c>
      <c r="D520" s="39">
        <v>0.161</v>
      </c>
      <c r="E520" s="36" t="s">
        <v>50</v>
      </c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7" t="s">
        <v>16</v>
      </c>
      <c r="B521" s="38">
        <f>IFERROR(__xludf.DUMMYFUNCTION("""COMPUTED_VALUE"""),10.0)</f>
        <v>10</v>
      </c>
      <c r="C521" s="36" t="s">
        <v>53</v>
      </c>
      <c r="D521" s="39">
        <v>0.161</v>
      </c>
      <c r="E521" s="36" t="s">
        <v>50</v>
      </c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7" t="s">
        <v>17</v>
      </c>
      <c r="B522" s="38">
        <f>IFERROR(__xludf.DUMMYFUNCTION("""COMPUTED_VALUE"""),20.0)</f>
        <v>20</v>
      </c>
      <c r="C522" s="36" t="s">
        <v>53</v>
      </c>
      <c r="D522" s="39">
        <v>0.161</v>
      </c>
      <c r="E522" s="36" t="s">
        <v>50</v>
      </c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7" t="s">
        <v>18</v>
      </c>
      <c r="B523" s="38">
        <f>IFERROR(__xludf.DUMMYFUNCTION("""COMPUTED_VALUE"""),30.0)</f>
        <v>30</v>
      </c>
      <c r="C523" s="36" t="s">
        <v>53</v>
      </c>
      <c r="D523" s="39">
        <v>0.161</v>
      </c>
      <c r="E523" s="36" t="s">
        <v>50</v>
      </c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7" t="s">
        <v>19</v>
      </c>
      <c r="B524" s="38">
        <f>IFERROR(__xludf.DUMMYFUNCTION("""COMPUTED_VALUE"""),10.0)</f>
        <v>10</v>
      </c>
      <c r="C524" s="36" t="s">
        <v>53</v>
      </c>
      <c r="D524" s="39">
        <v>0.16</v>
      </c>
      <c r="E524" s="36" t="s">
        <v>50</v>
      </c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7" t="s">
        <v>20</v>
      </c>
      <c r="B525" s="38">
        <f>IFERROR(__xludf.DUMMYFUNCTION("""COMPUTED_VALUE"""),20.0)</f>
        <v>20</v>
      </c>
      <c r="C525" s="36" t="s">
        <v>53</v>
      </c>
      <c r="D525" s="39">
        <v>0.16</v>
      </c>
      <c r="E525" s="36" t="s">
        <v>50</v>
      </c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7" t="s">
        <v>21</v>
      </c>
      <c r="B526" s="38">
        <f>IFERROR(__xludf.DUMMYFUNCTION("""COMPUTED_VALUE"""),30.0)</f>
        <v>30</v>
      </c>
      <c r="C526" s="36" t="s">
        <v>53</v>
      </c>
      <c r="D526" s="39">
        <v>0.16</v>
      </c>
      <c r="E526" s="36" t="s">
        <v>50</v>
      </c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7" t="s">
        <v>22</v>
      </c>
      <c r="B527" s="38">
        <f>IFERROR(__xludf.DUMMYFUNCTION("""COMPUTED_VALUE"""),10.0)</f>
        <v>10</v>
      </c>
      <c r="C527" s="36" t="s">
        <v>53</v>
      </c>
      <c r="D527" s="39">
        <v>0.163</v>
      </c>
      <c r="E527" s="36" t="s">
        <v>50</v>
      </c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7" t="s">
        <v>23</v>
      </c>
      <c r="B528" s="38">
        <f>IFERROR(__xludf.DUMMYFUNCTION("""COMPUTED_VALUE"""),20.0)</f>
        <v>20</v>
      </c>
      <c r="C528" s="36" t="s">
        <v>53</v>
      </c>
      <c r="D528" s="39">
        <v>0.163</v>
      </c>
      <c r="E528" s="36" t="s">
        <v>50</v>
      </c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7" t="s">
        <v>24</v>
      </c>
      <c r="B529" s="38">
        <f>IFERROR(__xludf.DUMMYFUNCTION("""COMPUTED_VALUE"""),30.0)</f>
        <v>30</v>
      </c>
      <c r="C529" s="36" t="s">
        <v>53</v>
      </c>
      <c r="D529" s="39">
        <v>0.163</v>
      </c>
      <c r="E529" s="36" t="s">
        <v>50</v>
      </c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7" t="s">
        <v>1</v>
      </c>
      <c r="B530" s="38">
        <f>IFERROR(__xludf.DUMMYFUNCTION("""COMPUTED_VALUE"""),10.0)</f>
        <v>10</v>
      </c>
      <c r="C530" s="36" t="s">
        <v>54</v>
      </c>
      <c r="D530" s="39">
        <v>0.004</v>
      </c>
      <c r="E530" s="36" t="s">
        <v>50</v>
      </c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7" t="s">
        <v>2</v>
      </c>
      <c r="B531" s="38">
        <f>IFERROR(__xludf.DUMMYFUNCTION("""COMPUTED_VALUE"""),20.0)</f>
        <v>20</v>
      </c>
      <c r="C531" s="36" t="s">
        <v>54</v>
      </c>
      <c r="D531" s="39">
        <v>0.004</v>
      </c>
      <c r="E531" s="36" t="s">
        <v>50</v>
      </c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7" t="s">
        <v>3</v>
      </c>
      <c r="B532" s="38">
        <f>IFERROR(__xludf.DUMMYFUNCTION("""COMPUTED_VALUE"""),30.0)</f>
        <v>30</v>
      </c>
      <c r="C532" s="36" t="s">
        <v>54</v>
      </c>
      <c r="D532" s="39">
        <v>0.004</v>
      </c>
      <c r="E532" s="36" t="s">
        <v>50</v>
      </c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7" t="s">
        <v>4</v>
      </c>
      <c r="B533" s="38">
        <f>IFERROR(__xludf.DUMMYFUNCTION("""COMPUTED_VALUE"""),10.0)</f>
        <v>10</v>
      </c>
      <c r="C533" s="36" t="s">
        <v>54</v>
      </c>
      <c r="D533" s="39">
        <v>0.043</v>
      </c>
      <c r="E533" s="36" t="s">
        <v>50</v>
      </c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7" t="s">
        <v>5</v>
      </c>
      <c r="B534" s="38">
        <f>IFERROR(__xludf.DUMMYFUNCTION("""COMPUTED_VALUE"""),20.0)</f>
        <v>20</v>
      </c>
      <c r="C534" s="36" t="s">
        <v>54</v>
      </c>
      <c r="D534" s="39">
        <v>0.043</v>
      </c>
      <c r="E534" s="36" t="s">
        <v>50</v>
      </c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7" t="s">
        <v>6</v>
      </c>
      <c r="B535" s="38">
        <f>IFERROR(__xludf.DUMMYFUNCTION("""COMPUTED_VALUE"""),30.0)</f>
        <v>30</v>
      </c>
      <c r="C535" s="36" t="s">
        <v>54</v>
      </c>
      <c r="D535" s="39">
        <v>0.043</v>
      </c>
      <c r="E535" s="36" t="s">
        <v>50</v>
      </c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7" t="s">
        <v>7</v>
      </c>
      <c r="B536" s="38">
        <f>IFERROR(__xludf.DUMMYFUNCTION("""COMPUTED_VALUE"""),10.0)</f>
        <v>10</v>
      </c>
      <c r="C536" s="36" t="s">
        <v>54</v>
      </c>
      <c r="D536" s="39">
        <v>0.054</v>
      </c>
      <c r="E536" s="36" t="s">
        <v>50</v>
      </c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7" t="s">
        <v>8</v>
      </c>
      <c r="B537" s="38">
        <f>IFERROR(__xludf.DUMMYFUNCTION("""COMPUTED_VALUE"""),20.0)</f>
        <v>20</v>
      </c>
      <c r="C537" s="36" t="s">
        <v>54</v>
      </c>
      <c r="D537" s="39">
        <v>0.054</v>
      </c>
      <c r="E537" s="36" t="s">
        <v>50</v>
      </c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7" t="s">
        <v>9</v>
      </c>
      <c r="B538" s="38">
        <f>IFERROR(__xludf.DUMMYFUNCTION("""COMPUTED_VALUE"""),30.0)</f>
        <v>30</v>
      </c>
      <c r="C538" s="36" t="s">
        <v>54</v>
      </c>
      <c r="D538" s="39">
        <v>0.054</v>
      </c>
      <c r="E538" s="36" t="s">
        <v>50</v>
      </c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7" t="s">
        <v>10</v>
      </c>
      <c r="B539" s="38">
        <f>IFERROR(__xludf.DUMMYFUNCTION("""COMPUTED_VALUE"""),10.0)</f>
        <v>10</v>
      </c>
      <c r="C539" s="36" t="s">
        <v>54</v>
      </c>
      <c r="D539" s="39">
        <v>0.061</v>
      </c>
      <c r="E539" s="36" t="s">
        <v>50</v>
      </c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7" t="s">
        <v>11</v>
      </c>
      <c r="B540" s="38">
        <f>IFERROR(__xludf.DUMMYFUNCTION("""COMPUTED_VALUE"""),20.0)</f>
        <v>20</v>
      </c>
      <c r="C540" s="36" t="s">
        <v>54</v>
      </c>
      <c r="D540" s="39">
        <v>0.061</v>
      </c>
      <c r="E540" s="36" t="s">
        <v>50</v>
      </c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7" t="s">
        <v>12</v>
      </c>
      <c r="B541" s="38">
        <f>IFERROR(__xludf.DUMMYFUNCTION("""COMPUTED_VALUE"""),30.0)</f>
        <v>30</v>
      </c>
      <c r="C541" s="36" t="s">
        <v>54</v>
      </c>
      <c r="D541" s="39">
        <v>0.061</v>
      </c>
      <c r="E541" s="36" t="s">
        <v>50</v>
      </c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7" t="s">
        <v>13</v>
      </c>
      <c r="B542" s="38">
        <f>IFERROR(__xludf.DUMMYFUNCTION("""COMPUTED_VALUE"""),10.0)</f>
        <v>10</v>
      </c>
      <c r="C542" s="36" t="s">
        <v>54</v>
      </c>
      <c r="D542" s="39">
        <v>0.018</v>
      </c>
      <c r="E542" s="36" t="s">
        <v>50</v>
      </c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7" t="s">
        <v>14</v>
      </c>
      <c r="B543" s="38">
        <f>IFERROR(__xludf.DUMMYFUNCTION("""COMPUTED_VALUE"""),20.0)</f>
        <v>20</v>
      </c>
      <c r="C543" s="36" t="s">
        <v>54</v>
      </c>
      <c r="D543" s="39">
        <v>0.018</v>
      </c>
      <c r="E543" s="36" t="s">
        <v>50</v>
      </c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7" t="s">
        <v>15</v>
      </c>
      <c r="B544" s="38">
        <f>IFERROR(__xludf.DUMMYFUNCTION("""COMPUTED_VALUE"""),30.0)</f>
        <v>30</v>
      </c>
      <c r="C544" s="36" t="s">
        <v>54</v>
      </c>
      <c r="D544" s="39">
        <v>0.018</v>
      </c>
      <c r="E544" s="36" t="s">
        <v>50</v>
      </c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7" t="s">
        <v>16</v>
      </c>
      <c r="B545" s="38">
        <f>IFERROR(__xludf.DUMMYFUNCTION("""COMPUTED_VALUE"""),10.0)</f>
        <v>10</v>
      </c>
      <c r="C545" s="36" t="s">
        <v>54</v>
      </c>
      <c r="D545" s="39">
        <v>0.037</v>
      </c>
      <c r="E545" s="36" t="s">
        <v>50</v>
      </c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7" t="s">
        <v>17</v>
      </c>
      <c r="B546" s="38">
        <f>IFERROR(__xludf.DUMMYFUNCTION("""COMPUTED_VALUE"""),20.0)</f>
        <v>20</v>
      </c>
      <c r="C546" s="36" t="s">
        <v>54</v>
      </c>
      <c r="D546" s="39">
        <v>0.037</v>
      </c>
      <c r="E546" s="36" t="s">
        <v>50</v>
      </c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7" t="s">
        <v>18</v>
      </c>
      <c r="B547" s="38">
        <f>IFERROR(__xludf.DUMMYFUNCTION("""COMPUTED_VALUE"""),30.0)</f>
        <v>30</v>
      </c>
      <c r="C547" s="36" t="s">
        <v>54</v>
      </c>
      <c r="D547" s="39">
        <v>0.037</v>
      </c>
      <c r="E547" s="36" t="s">
        <v>50</v>
      </c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7" t="s">
        <v>19</v>
      </c>
      <c r="B548" s="38">
        <f>IFERROR(__xludf.DUMMYFUNCTION("""COMPUTED_VALUE"""),10.0)</f>
        <v>10</v>
      </c>
      <c r="C548" s="36" t="s">
        <v>54</v>
      </c>
      <c r="D548" s="39">
        <v>0.039</v>
      </c>
      <c r="E548" s="36" t="s">
        <v>50</v>
      </c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7" t="s">
        <v>20</v>
      </c>
      <c r="B549" s="38">
        <f>IFERROR(__xludf.DUMMYFUNCTION("""COMPUTED_VALUE"""),20.0)</f>
        <v>20</v>
      </c>
      <c r="C549" s="36" t="s">
        <v>54</v>
      </c>
      <c r="D549" s="39">
        <v>0.039</v>
      </c>
      <c r="E549" s="36" t="s">
        <v>50</v>
      </c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7" t="s">
        <v>21</v>
      </c>
      <c r="B550" s="38">
        <f>IFERROR(__xludf.DUMMYFUNCTION("""COMPUTED_VALUE"""),30.0)</f>
        <v>30</v>
      </c>
      <c r="C550" s="36" t="s">
        <v>54</v>
      </c>
      <c r="D550" s="39">
        <v>0.039</v>
      </c>
      <c r="E550" s="36" t="s">
        <v>50</v>
      </c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7" t="s">
        <v>22</v>
      </c>
      <c r="B551" s="38">
        <f>IFERROR(__xludf.DUMMYFUNCTION("""COMPUTED_VALUE"""),10.0)</f>
        <v>10</v>
      </c>
      <c r="C551" s="36" t="s">
        <v>54</v>
      </c>
      <c r="D551" s="39">
        <v>0.096</v>
      </c>
      <c r="E551" s="36" t="s">
        <v>50</v>
      </c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7" t="s">
        <v>23</v>
      </c>
      <c r="B552" s="38">
        <f>IFERROR(__xludf.DUMMYFUNCTION("""COMPUTED_VALUE"""),20.0)</f>
        <v>20</v>
      </c>
      <c r="C552" s="36" t="s">
        <v>54</v>
      </c>
      <c r="D552" s="39">
        <v>0.096</v>
      </c>
      <c r="E552" s="36" t="s">
        <v>50</v>
      </c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7" t="s">
        <v>24</v>
      </c>
      <c r="B553" s="38">
        <f>IFERROR(__xludf.DUMMYFUNCTION("""COMPUTED_VALUE"""),30.0)</f>
        <v>30</v>
      </c>
      <c r="C553" s="36" t="s">
        <v>54</v>
      </c>
      <c r="D553" s="39">
        <v>0.096</v>
      </c>
      <c r="E553" s="36" t="s">
        <v>50</v>
      </c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7" t="s">
        <v>1</v>
      </c>
      <c r="B554" s="38">
        <f>IFERROR(__xludf.DUMMYFUNCTION("""COMPUTED_VALUE"""),10.0)</f>
        <v>10</v>
      </c>
      <c r="C554" s="36" t="s">
        <v>56</v>
      </c>
      <c r="D554" s="39">
        <v>283.0</v>
      </c>
      <c r="E554" s="36" t="s">
        <v>55</v>
      </c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7" t="s">
        <v>2</v>
      </c>
      <c r="B555" s="38">
        <f>IFERROR(__xludf.DUMMYFUNCTION("""COMPUTED_VALUE"""),20.0)</f>
        <v>20</v>
      </c>
      <c r="C555" s="36" t="s">
        <v>56</v>
      </c>
      <c r="D555" s="39">
        <v>293.4</v>
      </c>
      <c r="E555" s="36" t="s">
        <v>55</v>
      </c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7" t="s">
        <v>3</v>
      </c>
      <c r="B556" s="38">
        <f>IFERROR(__xludf.DUMMYFUNCTION("""COMPUTED_VALUE"""),30.0)</f>
        <v>30</v>
      </c>
      <c r="C556" s="36" t="s">
        <v>56</v>
      </c>
      <c r="D556" s="39">
        <v>297.3</v>
      </c>
      <c r="E556" s="36" t="s">
        <v>55</v>
      </c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7" t="s">
        <v>4</v>
      </c>
      <c r="B557" s="38">
        <f>IFERROR(__xludf.DUMMYFUNCTION("""COMPUTED_VALUE"""),10.0)</f>
        <v>10</v>
      </c>
      <c r="C557" s="36" t="s">
        <v>56</v>
      </c>
      <c r="D557" s="39">
        <v>251.0</v>
      </c>
      <c r="E557" s="36" t="s">
        <v>55</v>
      </c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7" t="s">
        <v>5</v>
      </c>
      <c r="B558" s="38">
        <f>IFERROR(__xludf.DUMMYFUNCTION("""COMPUTED_VALUE"""),20.0)</f>
        <v>20</v>
      </c>
      <c r="C558" s="36" t="s">
        <v>56</v>
      </c>
      <c r="D558" s="39">
        <v>257.3</v>
      </c>
      <c r="E558" s="36" t="s">
        <v>55</v>
      </c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7" t="s">
        <v>6</v>
      </c>
      <c r="B559" s="38">
        <f>IFERROR(__xludf.DUMMYFUNCTION("""COMPUTED_VALUE"""),30.0)</f>
        <v>30</v>
      </c>
      <c r="C559" s="36" t="s">
        <v>56</v>
      </c>
      <c r="D559" s="39">
        <v>256.0</v>
      </c>
      <c r="E559" s="36" t="s">
        <v>55</v>
      </c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7" t="s">
        <v>7</v>
      </c>
      <c r="B560" s="38">
        <f>IFERROR(__xludf.DUMMYFUNCTION("""COMPUTED_VALUE"""),10.0)</f>
        <v>10</v>
      </c>
      <c r="C560" s="36" t="s">
        <v>56</v>
      </c>
      <c r="D560" s="39">
        <v>251.9</v>
      </c>
      <c r="E560" s="36" t="s">
        <v>55</v>
      </c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7" t="s">
        <v>8</v>
      </c>
      <c r="B561" s="38">
        <f>IFERROR(__xludf.DUMMYFUNCTION("""COMPUTED_VALUE"""),20.0)</f>
        <v>20</v>
      </c>
      <c r="C561" s="36" t="s">
        <v>56</v>
      </c>
      <c r="D561" s="39">
        <v>256.9</v>
      </c>
      <c r="E561" s="36" t="s">
        <v>55</v>
      </c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7" t="s">
        <v>9</v>
      </c>
      <c r="B562" s="38">
        <f>IFERROR(__xludf.DUMMYFUNCTION("""COMPUTED_VALUE"""),30.0)</f>
        <v>30</v>
      </c>
      <c r="C562" s="36" t="s">
        <v>56</v>
      </c>
      <c r="D562" s="39">
        <v>254.6</v>
      </c>
      <c r="E562" s="36" t="s">
        <v>55</v>
      </c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7" t="s">
        <v>10</v>
      </c>
      <c r="B563" s="38">
        <f>IFERROR(__xludf.DUMMYFUNCTION("""COMPUTED_VALUE"""),10.0)</f>
        <v>10</v>
      </c>
      <c r="C563" s="36" t="s">
        <v>56</v>
      </c>
      <c r="D563" s="39">
        <v>251.0</v>
      </c>
      <c r="E563" s="36" t="s">
        <v>55</v>
      </c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7" t="s">
        <v>11</v>
      </c>
      <c r="B564" s="38">
        <f>IFERROR(__xludf.DUMMYFUNCTION("""COMPUTED_VALUE"""),20.0)</f>
        <v>20</v>
      </c>
      <c r="C564" s="36" t="s">
        <v>56</v>
      </c>
      <c r="D564" s="39">
        <v>273.8</v>
      </c>
      <c r="E564" s="36" t="s">
        <v>55</v>
      </c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7" t="s">
        <v>12</v>
      </c>
      <c r="B565" s="38">
        <f>IFERROR(__xludf.DUMMYFUNCTION("""COMPUTED_VALUE"""),30.0)</f>
        <v>30</v>
      </c>
      <c r="C565" s="36" t="s">
        <v>56</v>
      </c>
      <c r="D565" s="39">
        <v>263.7</v>
      </c>
      <c r="E565" s="36" t="s">
        <v>55</v>
      </c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7" t="s">
        <v>13</v>
      </c>
      <c r="B566" s="38">
        <f>IFERROR(__xludf.DUMMYFUNCTION("""COMPUTED_VALUE"""),10.0)</f>
        <v>10</v>
      </c>
      <c r="C566" s="36" t="s">
        <v>56</v>
      </c>
      <c r="D566" s="39">
        <v>249.2</v>
      </c>
      <c r="E566" s="36" t="s">
        <v>55</v>
      </c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7" t="s">
        <v>14</v>
      </c>
      <c r="B567" s="38">
        <f>IFERROR(__xludf.DUMMYFUNCTION("""COMPUTED_VALUE"""),20.0)</f>
        <v>20</v>
      </c>
      <c r="C567" s="36" t="s">
        <v>56</v>
      </c>
      <c r="D567" s="39">
        <v>256.1</v>
      </c>
      <c r="E567" s="36" t="s">
        <v>55</v>
      </c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7" t="s">
        <v>15</v>
      </c>
      <c r="B568" s="38">
        <f>IFERROR(__xludf.DUMMYFUNCTION("""COMPUTED_VALUE"""),30.0)</f>
        <v>30</v>
      </c>
      <c r="C568" s="36" t="s">
        <v>56</v>
      </c>
      <c r="D568" s="39">
        <v>252.3</v>
      </c>
      <c r="E568" s="36" t="s">
        <v>55</v>
      </c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7" t="s">
        <v>16</v>
      </c>
      <c r="B569" s="38">
        <f>IFERROR(__xludf.DUMMYFUNCTION("""COMPUTED_VALUE"""),10.0)</f>
        <v>10</v>
      </c>
      <c r="C569" s="36" t="s">
        <v>56</v>
      </c>
      <c r="D569" s="39">
        <v>257.6</v>
      </c>
      <c r="E569" s="36" t="s">
        <v>55</v>
      </c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7" t="s">
        <v>17</v>
      </c>
      <c r="B570" s="38">
        <f>IFERROR(__xludf.DUMMYFUNCTION("""COMPUTED_VALUE"""),20.0)</f>
        <v>20</v>
      </c>
      <c r="C570" s="36" t="s">
        <v>56</v>
      </c>
      <c r="D570" s="39">
        <v>253.3</v>
      </c>
      <c r="E570" s="36" t="s">
        <v>55</v>
      </c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7" t="s">
        <v>18</v>
      </c>
      <c r="B571" s="38">
        <f>IFERROR(__xludf.DUMMYFUNCTION("""COMPUTED_VALUE"""),30.0)</f>
        <v>30</v>
      </c>
      <c r="C571" s="36" t="s">
        <v>56</v>
      </c>
      <c r="D571" s="39">
        <v>274.3</v>
      </c>
      <c r="E571" s="36" t="s">
        <v>55</v>
      </c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7" t="s">
        <v>19</v>
      </c>
      <c r="B572" s="38">
        <f>IFERROR(__xludf.DUMMYFUNCTION("""COMPUTED_VALUE"""),10.0)</f>
        <v>10</v>
      </c>
      <c r="C572" s="36" t="s">
        <v>56</v>
      </c>
      <c r="D572" s="39">
        <v>247.6</v>
      </c>
      <c r="E572" s="36" t="s">
        <v>55</v>
      </c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7" t="s">
        <v>20</v>
      </c>
      <c r="B573" s="38">
        <f>IFERROR(__xludf.DUMMYFUNCTION("""COMPUTED_VALUE"""),20.0)</f>
        <v>20</v>
      </c>
      <c r="C573" s="36" t="s">
        <v>56</v>
      </c>
      <c r="D573" s="39">
        <v>256.2</v>
      </c>
      <c r="E573" s="36" t="s">
        <v>55</v>
      </c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7" t="s">
        <v>21</v>
      </c>
      <c r="B574" s="38">
        <f>IFERROR(__xludf.DUMMYFUNCTION("""COMPUTED_VALUE"""),30.0)</f>
        <v>30</v>
      </c>
      <c r="C574" s="36" t="s">
        <v>56</v>
      </c>
      <c r="D574" s="39">
        <v>258.1</v>
      </c>
      <c r="E574" s="36" t="s">
        <v>55</v>
      </c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7" t="s">
        <v>22</v>
      </c>
      <c r="B575" s="38">
        <f>IFERROR(__xludf.DUMMYFUNCTION("""COMPUTED_VALUE"""),10.0)</f>
        <v>10</v>
      </c>
      <c r="C575" s="36" t="s">
        <v>56</v>
      </c>
      <c r="D575" s="39">
        <v>292.4</v>
      </c>
      <c r="E575" s="36" t="s">
        <v>55</v>
      </c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7" t="s">
        <v>23</v>
      </c>
      <c r="B576" s="38">
        <f>IFERROR(__xludf.DUMMYFUNCTION("""COMPUTED_VALUE"""),20.0)</f>
        <v>20</v>
      </c>
      <c r="C576" s="36" t="s">
        <v>56</v>
      </c>
      <c r="D576" s="39">
        <v>247.3</v>
      </c>
      <c r="E576" s="36" t="s">
        <v>55</v>
      </c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7" t="s">
        <v>24</v>
      </c>
      <c r="B577" s="38">
        <f>IFERROR(__xludf.DUMMYFUNCTION("""COMPUTED_VALUE"""),30.0)</f>
        <v>30</v>
      </c>
      <c r="C577" s="36" t="s">
        <v>56</v>
      </c>
      <c r="D577" s="39">
        <v>243.9</v>
      </c>
      <c r="E577" s="36" t="s">
        <v>55</v>
      </c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7" t="s">
        <v>1</v>
      </c>
      <c r="B578" s="38">
        <f>IFERROR(__xludf.DUMMYFUNCTION("""COMPUTED_VALUE"""),10.0)</f>
        <v>10</v>
      </c>
      <c r="C578" s="36" t="s">
        <v>57</v>
      </c>
      <c r="D578" s="39">
        <v>415.7</v>
      </c>
      <c r="E578" s="36" t="s">
        <v>55</v>
      </c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7" t="s">
        <v>2</v>
      </c>
      <c r="B579" s="38">
        <f>IFERROR(__xludf.DUMMYFUNCTION("""COMPUTED_VALUE"""),20.0)</f>
        <v>20</v>
      </c>
      <c r="C579" s="36" t="s">
        <v>57</v>
      </c>
      <c r="D579" s="39">
        <v>409.6</v>
      </c>
      <c r="E579" s="36" t="s">
        <v>55</v>
      </c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7" t="s">
        <v>3</v>
      </c>
      <c r="B580" s="38">
        <f>IFERROR(__xludf.DUMMYFUNCTION("""COMPUTED_VALUE"""),30.0)</f>
        <v>30</v>
      </c>
      <c r="C580" s="36" t="s">
        <v>57</v>
      </c>
      <c r="D580" s="39">
        <v>418.4</v>
      </c>
      <c r="E580" s="36" t="s">
        <v>55</v>
      </c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7" t="s">
        <v>4</v>
      </c>
      <c r="B581" s="38">
        <f>IFERROR(__xludf.DUMMYFUNCTION("""COMPUTED_VALUE"""),10.0)</f>
        <v>10</v>
      </c>
      <c r="C581" s="36" t="s">
        <v>57</v>
      </c>
      <c r="D581" s="39">
        <v>399.3</v>
      </c>
      <c r="E581" s="36" t="s">
        <v>55</v>
      </c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7" t="s">
        <v>5</v>
      </c>
      <c r="B582" s="38">
        <f>IFERROR(__xludf.DUMMYFUNCTION("""COMPUTED_VALUE"""),20.0)</f>
        <v>20</v>
      </c>
      <c r="C582" s="36" t="s">
        <v>57</v>
      </c>
      <c r="D582" s="39">
        <v>400.4</v>
      </c>
      <c r="E582" s="36" t="s">
        <v>55</v>
      </c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7" t="s">
        <v>6</v>
      </c>
      <c r="B583" s="38">
        <f>IFERROR(__xludf.DUMMYFUNCTION("""COMPUTED_VALUE"""),30.0)</f>
        <v>30</v>
      </c>
      <c r="C583" s="36" t="s">
        <v>57</v>
      </c>
      <c r="D583" s="39">
        <v>408.8</v>
      </c>
      <c r="E583" s="36" t="s">
        <v>55</v>
      </c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7" t="s">
        <v>7</v>
      </c>
      <c r="B584" s="38">
        <f>IFERROR(__xludf.DUMMYFUNCTION("""COMPUTED_VALUE"""),10.0)</f>
        <v>10</v>
      </c>
      <c r="C584" s="36" t="s">
        <v>57</v>
      </c>
      <c r="D584" s="39">
        <v>424.6</v>
      </c>
      <c r="E584" s="36" t="s">
        <v>55</v>
      </c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7" t="s">
        <v>8</v>
      </c>
      <c r="B585" s="38">
        <f>IFERROR(__xludf.DUMMYFUNCTION("""COMPUTED_VALUE"""),20.0)</f>
        <v>20</v>
      </c>
      <c r="C585" s="36" t="s">
        <v>57</v>
      </c>
      <c r="D585" s="39">
        <v>421.3</v>
      </c>
      <c r="E585" s="36" t="s">
        <v>55</v>
      </c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7" t="s">
        <v>9</v>
      </c>
      <c r="B586" s="38">
        <f>IFERROR(__xludf.DUMMYFUNCTION("""COMPUTED_VALUE"""),30.0)</f>
        <v>30</v>
      </c>
      <c r="C586" s="36" t="s">
        <v>57</v>
      </c>
      <c r="D586" s="39">
        <v>420.7</v>
      </c>
      <c r="E586" s="36" t="s">
        <v>55</v>
      </c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7" t="s">
        <v>10</v>
      </c>
      <c r="B587" s="38">
        <f>IFERROR(__xludf.DUMMYFUNCTION("""COMPUTED_VALUE"""),10.0)</f>
        <v>10</v>
      </c>
      <c r="C587" s="36" t="s">
        <v>57</v>
      </c>
      <c r="D587" s="39">
        <v>424.8</v>
      </c>
      <c r="E587" s="36" t="s">
        <v>55</v>
      </c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7" t="s">
        <v>11</v>
      </c>
      <c r="B588" s="38">
        <f>IFERROR(__xludf.DUMMYFUNCTION("""COMPUTED_VALUE"""),20.0)</f>
        <v>20</v>
      </c>
      <c r="C588" s="36" t="s">
        <v>57</v>
      </c>
      <c r="D588" s="39">
        <v>415.0</v>
      </c>
      <c r="E588" s="36" t="s">
        <v>55</v>
      </c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7" t="s">
        <v>12</v>
      </c>
      <c r="B589" s="38">
        <f>IFERROR(__xludf.DUMMYFUNCTION("""COMPUTED_VALUE"""),30.0)</f>
        <v>30</v>
      </c>
      <c r="C589" s="36" t="s">
        <v>57</v>
      </c>
      <c r="D589" s="39">
        <v>435.7</v>
      </c>
      <c r="E589" s="36" t="s">
        <v>55</v>
      </c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7" t="s">
        <v>13</v>
      </c>
      <c r="B590" s="38">
        <f>IFERROR(__xludf.DUMMYFUNCTION("""COMPUTED_VALUE"""),10.0)</f>
        <v>10</v>
      </c>
      <c r="C590" s="36" t="s">
        <v>57</v>
      </c>
      <c r="D590" s="39">
        <v>429.8</v>
      </c>
      <c r="E590" s="36" t="s">
        <v>55</v>
      </c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7" t="s">
        <v>14</v>
      </c>
      <c r="B591" s="38">
        <f>IFERROR(__xludf.DUMMYFUNCTION("""COMPUTED_VALUE"""),20.0)</f>
        <v>20</v>
      </c>
      <c r="C591" s="36" t="s">
        <v>57</v>
      </c>
      <c r="D591" s="39">
        <v>425.8</v>
      </c>
      <c r="E591" s="36" t="s">
        <v>55</v>
      </c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7" t="s">
        <v>15</v>
      </c>
      <c r="B592" s="38">
        <f>IFERROR(__xludf.DUMMYFUNCTION("""COMPUTED_VALUE"""),30.0)</f>
        <v>30</v>
      </c>
      <c r="C592" s="36" t="s">
        <v>57</v>
      </c>
      <c r="D592" s="39">
        <v>442.4</v>
      </c>
      <c r="E592" s="36" t="s">
        <v>55</v>
      </c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7" t="s">
        <v>16</v>
      </c>
      <c r="B593" s="38">
        <f>IFERROR(__xludf.DUMMYFUNCTION("""COMPUTED_VALUE"""),10.0)</f>
        <v>10</v>
      </c>
      <c r="C593" s="36" t="s">
        <v>57</v>
      </c>
      <c r="D593" s="39">
        <v>436.1</v>
      </c>
      <c r="E593" s="36" t="s">
        <v>55</v>
      </c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7" t="s">
        <v>17</v>
      </c>
      <c r="B594" s="38">
        <f>IFERROR(__xludf.DUMMYFUNCTION("""COMPUTED_VALUE"""),20.0)</f>
        <v>20</v>
      </c>
      <c r="C594" s="36" t="s">
        <v>57</v>
      </c>
      <c r="D594" s="39">
        <v>432.8</v>
      </c>
      <c r="E594" s="36" t="s">
        <v>55</v>
      </c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7" t="s">
        <v>18</v>
      </c>
      <c r="B595" s="38">
        <f>IFERROR(__xludf.DUMMYFUNCTION("""COMPUTED_VALUE"""),30.0)</f>
        <v>30</v>
      </c>
      <c r="C595" s="36" t="s">
        <v>57</v>
      </c>
      <c r="D595" s="39">
        <v>442.3</v>
      </c>
      <c r="E595" s="36" t="s">
        <v>55</v>
      </c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7" t="s">
        <v>19</v>
      </c>
      <c r="B596" s="38">
        <f>IFERROR(__xludf.DUMMYFUNCTION("""COMPUTED_VALUE"""),10.0)</f>
        <v>10</v>
      </c>
      <c r="C596" s="36" t="s">
        <v>57</v>
      </c>
      <c r="D596" s="39">
        <v>418.8</v>
      </c>
      <c r="E596" s="36" t="s">
        <v>55</v>
      </c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7" t="s">
        <v>20</v>
      </c>
      <c r="B597" s="38">
        <f>IFERROR(__xludf.DUMMYFUNCTION("""COMPUTED_VALUE"""),20.0)</f>
        <v>20</v>
      </c>
      <c r="C597" s="36" t="s">
        <v>57</v>
      </c>
      <c r="D597" s="39">
        <v>443.9</v>
      </c>
      <c r="E597" s="36" t="s">
        <v>55</v>
      </c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7" t="s">
        <v>21</v>
      </c>
      <c r="B598" s="38">
        <f>IFERROR(__xludf.DUMMYFUNCTION("""COMPUTED_VALUE"""),30.0)</f>
        <v>30</v>
      </c>
      <c r="C598" s="36" t="s">
        <v>57</v>
      </c>
      <c r="D598" s="39">
        <v>422.3</v>
      </c>
      <c r="E598" s="36" t="s">
        <v>55</v>
      </c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7" t="s">
        <v>22</v>
      </c>
      <c r="B599" s="38">
        <f>IFERROR(__xludf.DUMMYFUNCTION("""COMPUTED_VALUE"""),10.0)</f>
        <v>10</v>
      </c>
      <c r="C599" s="36" t="s">
        <v>57</v>
      </c>
      <c r="D599" s="39">
        <v>395.0</v>
      </c>
      <c r="E599" s="36" t="s">
        <v>55</v>
      </c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7" t="s">
        <v>23</v>
      </c>
      <c r="B600" s="38">
        <f>IFERROR(__xludf.DUMMYFUNCTION("""COMPUTED_VALUE"""),20.0)</f>
        <v>20</v>
      </c>
      <c r="C600" s="36" t="s">
        <v>57</v>
      </c>
      <c r="D600" s="39">
        <v>396.6</v>
      </c>
      <c r="E600" s="36" t="s">
        <v>55</v>
      </c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7" t="s">
        <v>24</v>
      </c>
      <c r="B601" s="38">
        <f>IFERROR(__xludf.DUMMYFUNCTION("""COMPUTED_VALUE"""),30.0)</f>
        <v>30</v>
      </c>
      <c r="C601" s="36" t="s">
        <v>57</v>
      </c>
      <c r="D601" s="39">
        <v>393.3</v>
      </c>
      <c r="E601" s="36" t="s">
        <v>55</v>
      </c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7" t="s">
        <v>1</v>
      </c>
      <c r="B602" s="38">
        <f>IFERROR(__xludf.DUMMYFUNCTION("""COMPUTED_VALUE"""),10.0)</f>
        <v>10</v>
      </c>
      <c r="C602" s="36" t="s">
        <v>58</v>
      </c>
      <c r="D602" s="39">
        <v>331.0</v>
      </c>
      <c r="E602" s="36" t="s">
        <v>55</v>
      </c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7" t="s">
        <v>2</v>
      </c>
      <c r="B603" s="38">
        <f>IFERROR(__xludf.DUMMYFUNCTION("""COMPUTED_VALUE"""),20.0)</f>
        <v>20</v>
      </c>
      <c r="C603" s="36" t="s">
        <v>58</v>
      </c>
      <c r="D603" s="39">
        <v>352.0</v>
      </c>
      <c r="E603" s="36" t="s">
        <v>55</v>
      </c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7" t="s">
        <v>3</v>
      </c>
      <c r="B604" s="38">
        <f>IFERROR(__xludf.DUMMYFUNCTION("""COMPUTED_VALUE"""),30.0)</f>
        <v>30</v>
      </c>
      <c r="C604" s="36" t="s">
        <v>58</v>
      </c>
      <c r="D604" s="39">
        <v>353.2</v>
      </c>
      <c r="E604" s="36" t="s">
        <v>55</v>
      </c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7" t="s">
        <v>4</v>
      </c>
      <c r="B605" s="38">
        <f>IFERROR(__xludf.DUMMYFUNCTION("""COMPUTED_VALUE"""),10.0)</f>
        <v>10</v>
      </c>
      <c r="C605" s="36" t="s">
        <v>58</v>
      </c>
      <c r="D605" s="39">
        <v>284.3</v>
      </c>
      <c r="E605" s="36" t="s">
        <v>55</v>
      </c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7" t="s">
        <v>5</v>
      </c>
      <c r="B606" s="38">
        <f>IFERROR(__xludf.DUMMYFUNCTION("""COMPUTED_VALUE"""),20.0)</f>
        <v>20</v>
      </c>
      <c r="C606" s="36" t="s">
        <v>58</v>
      </c>
      <c r="D606" s="39">
        <v>289.0</v>
      </c>
      <c r="E606" s="36" t="s">
        <v>55</v>
      </c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7" t="s">
        <v>6</v>
      </c>
      <c r="B607" s="38">
        <f>IFERROR(__xludf.DUMMYFUNCTION("""COMPUTED_VALUE"""),30.0)</f>
        <v>30</v>
      </c>
      <c r="C607" s="36" t="s">
        <v>58</v>
      </c>
      <c r="D607" s="39">
        <v>290.0</v>
      </c>
      <c r="E607" s="36" t="s">
        <v>55</v>
      </c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7" t="s">
        <v>7</v>
      </c>
      <c r="B608" s="38">
        <f>IFERROR(__xludf.DUMMYFUNCTION("""COMPUTED_VALUE"""),10.0)</f>
        <v>10</v>
      </c>
      <c r="C608" s="36" t="s">
        <v>58</v>
      </c>
      <c r="D608" s="39">
        <v>283.7</v>
      </c>
      <c r="E608" s="36" t="s">
        <v>55</v>
      </c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7" t="s">
        <v>8</v>
      </c>
      <c r="B609" s="38">
        <f>IFERROR(__xludf.DUMMYFUNCTION("""COMPUTED_VALUE"""),20.0)</f>
        <v>20</v>
      </c>
      <c r="C609" s="36" t="s">
        <v>58</v>
      </c>
      <c r="D609" s="39">
        <v>294.6</v>
      </c>
      <c r="E609" s="36" t="s">
        <v>55</v>
      </c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7" t="s">
        <v>9</v>
      </c>
      <c r="B610" s="38">
        <f>IFERROR(__xludf.DUMMYFUNCTION("""COMPUTED_VALUE"""),30.0)</f>
        <v>30</v>
      </c>
      <c r="C610" s="36" t="s">
        <v>58</v>
      </c>
      <c r="D610" s="39">
        <v>292.3</v>
      </c>
      <c r="E610" s="36" t="s">
        <v>55</v>
      </c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7" t="s">
        <v>10</v>
      </c>
      <c r="B611" s="38">
        <f>IFERROR(__xludf.DUMMYFUNCTION("""COMPUTED_VALUE"""),10.0)</f>
        <v>10</v>
      </c>
      <c r="C611" s="36" t="s">
        <v>58</v>
      </c>
      <c r="D611" s="39">
        <v>282.9</v>
      </c>
      <c r="E611" s="36" t="s">
        <v>55</v>
      </c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7" t="s">
        <v>11</v>
      </c>
      <c r="B612" s="38">
        <f>IFERROR(__xludf.DUMMYFUNCTION("""COMPUTED_VALUE"""),20.0)</f>
        <v>20</v>
      </c>
      <c r="C612" s="36" t="s">
        <v>58</v>
      </c>
      <c r="D612" s="39">
        <v>324.8</v>
      </c>
      <c r="E612" s="36" t="s">
        <v>55</v>
      </c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7" t="s">
        <v>12</v>
      </c>
      <c r="B613" s="38">
        <f>IFERROR(__xludf.DUMMYFUNCTION("""COMPUTED_VALUE"""),30.0)</f>
        <v>30</v>
      </c>
      <c r="C613" s="36" t="s">
        <v>58</v>
      </c>
      <c r="D613" s="39">
        <v>332.4</v>
      </c>
      <c r="E613" s="36" t="s">
        <v>55</v>
      </c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7" t="s">
        <v>13</v>
      </c>
      <c r="B614" s="38">
        <f>IFERROR(__xludf.DUMMYFUNCTION("""COMPUTED_VALUE"""),10.0)</f>
        <v>10</v>
      </c>
      <c r="C614" s="36" t="s">
        <v>58</v>
      </c>
      <c r="D614" s="39">
        <v>294.5</v>
      </c>
      <c r="E614" s="36" t="s">
        <v>55</v>
      </c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7" t="s">
        <v>14</v>
      </c>
      <c r="B615" s="38">
        <f>IFERROR(__xludf.DUMMYFUNCTION("""COMPUTED_VALUE"""),20.0)</f>
        <v>20</v>
      </c>
      <c r="C615" s="36" t="s">
        <v>58</v>
      </c>
      <c r="D615" s="39">
        <v>303.8</v>
      </c>
      <c r="E615" s="36" t="s">
        <v>55</v>
      </c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7" t="s">
        <v>15</v>
      </c>
      <c r="B616" s="38">
        <f>IFERROR(__xludf.DUMMYFUNCTION("""COMPUTED_VALUE"""),30.0)</f>
        <v>30</v>
      </c>
      <c r="C616" s="36" t="s">
        <v>58</v>
      </c>
      <c r="D616" s="39">
        <v>292.5</v>
      </c>
      <c r="E616" s="36" t="s">
        <v>55</v>
      </c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7" t="s">
        <v>16</v>
      </c>
      <c r="B617" s="38">
        <f>IFERROR(__xludf.DUMMYFUNCTION("""COMPUTED_VALUE"""),10.0)</f>
        <v>10</v>
      </c>
      <c r="C617" s="36" t="s">
        <v>58</v>
      </c>
      <c r="D617" s="39">
        <v>302.7</v>
      </c>
      <c r="E617" s="36" t="s">
        <v>55</v>
      </c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7" t="s">
        <v>17</v>
      </c>
      <c r="B618" s="38">
        <f>IFERROR(__xludf.DUMMYFUNCTION("""COMPUTED_VALUE"""),20.0)</f>
        <v>20</v>
      </c>
      <c r="C618" s="36" t="s">
        <v>58</v>
      </c>
      <c r="D618" s="39">
        <v>300.1</v>
      </c>
      <c r="E618" s="36" t="s">
        <v>55</v>
      </c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7" t="s">
        <v>18</v>
      </c>
      <c r="B619" s="38">
        <f>IFERROR(__xludf.DUMMYFUNCTION("""COMPUTED_VALUE"""),30.0)</f>
        <v>30</v>
      </c>
      <c r="C619" s="36" t="s">
        <v>58</v>
      </c>
      <c r="D619" s="39">
        <v>322.9</v>
      </c>
      <c r="E619" s="36" t="s">
        <v>55</v>
      </c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7" t="s">
        <v>19</v>
      </c>
      <c r="B620" s="38">
        <f>IFERROR(__xludf.DUMMYFUNCTION("""COMPUTED_VALUE"""),10.0)</f>
        <v>10</v>
      </c>
      <c r="C620" s="36" t="s">
        <v>58</v>
      </c>
      <c r="D620" s="39">
        <v>279.4</v>
      </c>
      <c r="E620" s="36" t="s">
        <v>55</v>
      </c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7" t="s">
        <v>20</v>
      </c>
      <c r="B621" s="38">
        <f>IFERROR(__xludf.DUMMYFUNCTION("""COMPUTED_VALUE"""),20.0)</f>
        <v>20</v>
      </c>
      <c r="C621" s="36" t="s">
        <v>58</v>
      </c>
      <c r="D621" s="39">
        <v>290.1</v>
      </c>
      <c r="E621" s="36" t="s">
        <v>55</v>
      </c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7" t="s">
        <v>21</v>
      </c>
      <c r="B622" s="38">
        <f>IFERROR(__xludf.DUMMYFUNCTION("""COMPUTED_VALUE"""),30.0)</f>
        <v>30</v>
      </c>
      <c r="C622" s="36" t="s">
        <v>58</v>
      </c>
      <c r="D622" s="39">
        <v>294.1</v>
      </c>
      <c r="E622" s="36" t="s">
        <v>55</v>
      </c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7" t="s">
        <v>22</v>
      </c>
      <c r="B623" s="38">
        <f>IFERROR(__xludf.DUMMYFUNCTION("""COMPUTED_VALUE"""),10.0)</f>
        <v>10</v>
      </c>
      <c r="C623" s="36" t="s">
        <v>58</v>
      </c>
      <c r="D623" s="39">
        <v>268.0</v>
      </c>
      <c r="E623" s="36" t="s">
        <v>55</v>
      </c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7" t="s">
        <v>23</v>
      </c>
      <c r="B624" s="38">
        <f>IFERROR(__xludf.DUMMYFUNCTION("""COMPUTED_VALUE"""),20.0)</f>
        <v>20</v>
      </c>
      <c r="C624" s="36" t="s">
        <v>58</v>
      </c>
      <c r="D624" s="39">
        <v>275.1</v>
      </c>
      <c r="E624" s="36" t="s">
        <v>55</v>
      </c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7" t="s">
        <v>24</v>
      </c>
      <c r="B625" s="38">
        <f>IFERROR(__xludf.DUMMYFUNCTION("""COMPUTED_VALUE"""),30.0)</f>
        <v>30</v>
      </c>
      <c r="C625" s="36" t="s">
        <v>58</v>
      </c>
      <c r="D625" s="39">
        <v>276.8</v>
      </c>
      <c r="E625" s="36" t="s">
        <v>55</v>
      </c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7" t="s">
        <v>1</v>
      </c>
      <c r="B626" s="38">
        <f>IFERROR(__xludf.DUMMYFUNCTION("""COMPUTED_VALUE"""),10.0)</f>
        <v>10</v>
      </c>
      <c r="C626" s="36" t="s">
        <v>59</v>
      </c>
      <c r="D626" s="39">
        <v>66.3</v>
      </c>
      <c r="E626" s="36" t="s">
        <v>55</v>
      </c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7" t="s">
        <v>2</v>
      </c>
      <c r="B627" s="38">
        <f>IFERROR(__xludf.DUMMYFUNCTION("""COMPUTED_VALUE"""),20.0)</f>
        <v>20</v>
      </c>
      <c r="C627" s="36" t="s">
        <v>59</v>
      </c>
      <c r="D627" s="39">
        <v>78.1</v>
      </c>
      <c r="E627" s="36" t="s">
        <v>55</v>
      </c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7" t="s">
        <v>3</v>
      </c>
      <c r="B628" s="38">
        <f>IFERROR(__xludf.DUMMYFUNCTION("""COMPUTED_VALUE"""),30.0)</f>
        <v>30</v>
      </c>
      <c r="C628" s="36" t="s">
        <v>59</v>
      </c>
      <c r="D628" s="39">
        <v>79.4</v>
      </c>
      <c r="E628" s="36" t="s">
        <v>55</v>
      </c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7" t="s">
        <v>4</v>
      </c>
      <c r="B629" s="38">
        <f>IFERROR(__xludf.DUMMYFUNCTION("""COMPUTED_VALUE"""),10.0)</f>
        <v>10</v>
      </c>
      <c r="C629" s="36" t="s">
        <v>59</v>
      </c>
      <c r="D629" s="39">
        <v>72.3</v>
      </c>
      <c r="E629" s="36" t="s">
        <v>55</v>
      </c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7" t="s">
        <v>5</v>
      </c>
      <c r="B630" s="38">
        <f>IFERROR(__xludf.DUMMYFUNCTION("""COMPUTED_VALUE"""),20.0)</f>
        <v>20</v>
      </c>
      <c r="C630" s="36" t="s">
        <v>59</v>
      </c>
      <c r="D630" s="39">
        <v>77.0</v>
      </c>
      <c r="E630" s="36" t="s">
        <v>55</v>
      </c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7" t="s">
        <v>6</v>
      </c>
      <c r="B631" s="38">
        <f>IFERROR(__xludf.DUMMYFUNCTION("""COMPUTED_VALUE"""),30.0)</f>
        <v>30</v>
      </c>
      <c r="C631" s="36" t="s">
        <v>59</v>
      </c>
      <c r="D631" s="39">
        <v>79.8</v>
      </c>
      <c r="E631" s="36" t="s">
        <v>55</v>
      </c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7" t="s">
        <v>7</v>
      </c>
      <c r="B632" s="38">
        <f>IFERROR(__xludf.DUMMYFUNCTION("""COMPUTED_VALUE"""),10.0)</f>
        <v>10</v>
      </c>
      <c r="C632" s="36" t="s">
        <v>59</v>
      </c>
      <c r="D632" s="39">
        <v>93.4</v>
      </c>
      <c r="E632" s="36" t="s">
        <v>55</v>
      </c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7" t="s">
        <v>8</v>
      </c>
      <c r="B633" s="38">
        <f>IFERROR(__xludf.DUMMYFUNCTION("""COMPUTED_VALUE"""),20.0)</f>
        <v>20</v>
      </c>
      <c r="C633" s="36" t="s">
        <v>59</v>
      </c>
      <c r="D633" s="39">
        <v>94.9</v>
      </c>
      <c r="E633" s="36" t="s">
        <v>55</v>
      </c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7" t="s">
        <v>9</v>
      </c>
      <c r="B634" s="38">
        <f>IFERROR(__xludf.DUMMYFUNCTION("""COMPUTED_VALUE"""),30.0)</f>
        <v>30</v>
      </c>
      <c r="C634" s="36" t="s">
        <v>59</v>
      </c>
      <c r="D634" s="39">
        <v>95.1</v>
      </c>
      <c r="E634" s="36" t="s">
        <v>55</v>
      </c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7" t="s">
        <v>10</v>
      </c>
      <c r="B635" s="38">
        <f>IFERROR(__xludf.DUMMYFUNCTION("""COMPUTED_VALUE"""),10.0)</f>
        <v>10</v>
      </c>
      <c r="C635" s="36" t="s">
        <v>59</v>
      </c>
      <c r="D635" s="39">
        <v>89.2</v>
      </c>
      <c r="E635" s="36" t="s">
        <v>55</v>
      </c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7" t="s">
        <v>11</v>
      </c>
      <c r="B636" s="38">
        <f>IFERROR(__xludf.DUMMYFUNCTION("""COMPUTED_VALUE"""),20.0)</f>
        <v>20</v>
      </c>
      <c r="C636" s="36" t="s">
        <v>59</v>
      </c>
      <c r="D636" s="39">
        <v>79.3</v>
      </c>
      <c r="E636" s="36" t="s">
        <v>55</v>
      </c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7" t="s">
        <v>12</v>
      </c>
      <c r="B637" s="38">
        <f>IFERROR(__xludf.DUMMYFUNCTION("""COMPUTED_VALUE"""),30.0)</f>
        <v>30</v>
      </c>
      <c r="C637" s="36" t="s">
        <v>59</v>
      </c>
      <c r="D637" s="39">
        <v>95.4</v>
      </c>
      <c r="E637" s="36" t="s">
        <v>55</v>
      </c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7" t="s">
        <v>13</v>
      </c>
      <c r="B638" s="38">
        <f>IFERROR(__xludf.DUMMYFUNCTION("""COMPUTED_VALUE"""),10.0)</f>
        <v>10</v>
      </c>
      <c r="C638" s="36" t="s">
        <v>59</v>
      </c>
      <c r="D638" s="39">
        <v>91.1</v>
      </c>
      <c r="E638" s="36" t="s">
        <v>55</v>
      </c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7" t="s">
        <v>14</v>
      </c>
      <c r="B639" s="38">
        <f>IFERROR(__xludf.DUMMYFUNCTION("""COMPUTED_VALUE"""),20.0)</f>
        <v>20</v>
      </c>
      <c r="C639" s="36" t="s">
        <v>59</v>
      </c>
      <c r="D639" s="39">
        <v>89.2</v>
      </c>
      <c r="E639" s="36" t="s">
        <v>55</v>
      </c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7" t="s">
        <v>15</v>
      </c>
      <c r="B640" s="38">
        <f>IFERROR(__xludf.DUMMYFUNCTION("""COMPUTED_VALUE"""),30.0)</f>
        <v>30</v>
      </c>
      <c r="C640" s="36" t="s">
        <v>59</v>
      </c>
      <c r="D640" s="39">
        <v>93.1</v>
      </c>
      <c r="E640" s="36" t="s">
        <v>55</v>
      </c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7" t="s">
        <v>16</v>
      </c>
      <c r="B641" s="38">
        <f>IFERROR(__xludf.DUMMYFUNCTION("""COMPUTED_VALUE"""),10.0)</f>
        <v>10</v>
      </c>
      <c r="C641" s="36" t="s">
        <v>59</v>
      </c>
      <c r="D641" s="39">
        <v>88.2</v>
      </c>
      <c r="E641" s="36" t="s">
        <v>55</v>
      </c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7" t="s">
        <v>17</v>
      </c>
      <c r="B642" s="38">
        <f>IFERROR(__xludf.DUMMYFUNCTION("""COMPUTED_VALUE"""),20.0)</f>
        <v>20</v>
      </c>
      <c r="C642" s="36" t="s">
        <v>59</v>
      </c>
      <c r="D642" s="39">
        <v>90.2</v>
      </c>
      <c r="E642" s="36" t="s">
        <v>55</v>
      </c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7" t="s">
        <v>18</v>
      </c>
      <c r="B643" s="38">
        <f>IFERROR(__xludf.DUMMYFUNCTION("""COMPUTED_VALUE"""),30.0)</f>
        <v>30</v>
      </c>
      <c r="C643" s="36" t="s">
        <v>59</v>
      </c>
      <c r="D643" s="39">
        <v>85.1</v>
      </c>
      <c r="E643" s="36" t="s">
        <v>55</v>
      </c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7" t="s">
        <v>19</v>
      </c>
      <c r="B644" s="38">
        <f>IFERROR(__xludf.DUMMYFUNCTION("""COMPUTED_VALUE"""),10.0)</f>
        <v>10</v>
      </c>
      <c r="C644" s="36" t="s">
        <v>59</v>
      </c>
      <c r="D644" s="39">
        <v>91.5</v>
      </c>
      <c r="E644" s="36" t="s">
        <v>55</v>
      </c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7" t="s">
        <v>20</v>
      </c>
      <c r="B645" s="38">
        <f>IFERROR(__xludf.DUMMYFUNCTION("""COMPUTED_VALUE"""),20.0)</f>
        <v>20</v>
      </c>
      <c r="C645" s="36" t="s">
        <v>59</v>
      </c>
      <c r="D645" s="39">
        <v>97.0</v>
      </c>
      <c r="E645" s="36" t="s">
        <v>55</v>
      </c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7" t="s">
        <v>21</v>
      </c>
      <c r="B646" s="38">
        <f>IFERROR(__xludf.DUMMYFUNCTION("""COMPUTED_VALUE"""),30.0)</f>
        <v>30</v>
      </c>
      <c r="C646" s="36" t="s">
        <v>59</v>
      </c>
      <c r="D646" s="39">
        <v>92.5</v>
      </c>
      <c r="E646" s="36" t="s">
        <v>55</v>
      </c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7" t="s">
        <v>22</v>
      </c>
      <c r="B647" s="38">
        <f>IFERROR(__xludf.DUMMYFUNCTION("""COMPUTED_VALUE"""),10.0)</f>
        <v>10</v>
      </c>
      <c r="C647" s="36" t="s">
        <v>59</v>
      </c>
      <c r="D647" s="39">
        <v>75.4</v>
      </c>
      <c r="E647" s="36" t="s">
        <v>55</v>
      </c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7" t="s">
        <v>23</v>
      </c>
      <c r="B648" s="38">
        <f>IFERROR(__xludf.DUMMYFUNCTION("""COMPUTED_VALUE"""),20.0)</f>
        <v>20</v>
      </c>
      <c r="C648" s="36" t="s">
        <v>59</v>
      </c>
      <c r="D648" s="39">
        <v>73.5</v>
      </c>
      <c r="E648" s="36" t="s">
        <v>55</v>
      </c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7" t="s">
        <v>24</v>
      </c>
      <c r="B649" s="38">
        <f>IFERROR(__xludf.DUMMYFUNCTION("""COMPUTED_VALUE"""),30.0)</f>
        <v>30</v>
      </c>
      <c r="C649" s="36" t="s">
        <v>59</v>
      </c>
      <c r="D649" s="39">
        <v>72.6</v>
      </c>
      <c r="E649" s="36" t="s">
        <v>55</v>
      </c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7" t="s">
        <v>1</v>
      </c>
      <c r="B650" s="38">
        <f>IFERROR(__xludf.DUMMYFUNCTION("""COMPUTED_VALUE"""),10.0)</f>
        <v>10</v>
      </c>
      <c r="C650" s="36" t="s">
        <v>60</v>
      </c>
      <c r="D650" s="39">
        <v>8.0</v>
      </c>
      <c r="E650" s="36" t="s">
        <v>55</v>
      </c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7" t="s">
        <v>2</v>
      </c>
      <c r="B651" s="38">
        <f>IFERROR(__xludf.DUMMYFUNCTION("""COMPUTED_VALUE"""),20.0)</f>
        <v>20</v>
      </c>
      <c r="C651" s="36" t="s">
        <v>60</v>
      </c>
      <c r="D651" s="39">
        <v>13.6</v>
      </c>
      <c r="E651" s="36" t="s">
        <v>55</v>
      </c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7" t="s">
        <v>3</v>
      </c>
      <c r="B652" s="38">
        <f>IFERROR(__xludf.DUMMYFUNCTION("""COMPUTED_VALUE"""),30.0)</f>
        <v>30</v>
      </c>
      <c r="C652" s="36" t="s">
        <v>60</v>
      </c>
      <c r="D652" s="39">
        <v>22.4</v>
      </c>
      <c r="E652" s="36" t="s">
        <v>55</v>
      </c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7" t="s">
        <v>4</v>
      </c>
      <c r="B653" s="38">
        <f>IFERROR(__xludf.DUMMYFUNCTION("""COMPUTED_VALUE"""),10.0)</f>
        <v>10</v>
      </c>
      <c r="C653" s="36" t="s">
        <v>60</v>
      </c>
      <c r="D653" s="39">
        <v>5.9</v>
      </c>
      <c r="E653" s="36" t="s">
        <v>55</v>
      </c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7" t="s">
        <v>5</v>
      </c>
      <c r="B654" s="38">
        <f>IFERROR(__xludf.DUMMYFUNCTION("""COMPUTED_VALUE"""),20.0)</f>
        <v>20</v>
      </c>
      <c r="C654" s="36" t="s">
        <v>60</v>
      </c>
      <c r="D654" s="39">
        <v>10.4</v>
      </c>
      <c r="E654" s="36" t="s">
        <v>55</v>
      </c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7" t="s">
        <v>6</v>
      </c>
      <c r="B655" s="38">
        <f>IFERROR(__xludf.DUMMYFUNCTION("""COMPUTED_VALUE"""),30.0)</f>
        <v>30</v>
      </c>
      <c r="C655" s="36" t="s">
        <v>60</v>
      </c>
      <c r="D655" s="39">
        <v>15.1</v>
      </c>
      <c r="E655" s="36" t="s">
        <v>55</v>
      </c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7" t="s">
        <v>7</v>
      </c>
      <c r="B656" s="38">
        <f>IFERROR(__xludf.DUMMYFUNCTION("""COMPUTED_VALUE"""),10.0)</f>
        <v>10</v>
      </c>
      <c r="C656" s="36" t="s">
        <v>60</v>
      </c>
      <c r="D656" s="39">
        <v>4.8</v>
      </c>
      <c r="E656" s="36" t="s">
        <v>55</v>
      </c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7" t="s">
        <v>8</v>
      </c>
      <c r="B657" s="38">
        <f>IFERROR(__xludf.DUMMYFUNCTION("""COMPUTED_VALUE"""),20.0)</f>
        <v>20</v>
      </c>
      <c r="C657" s="36" t="s">
        <v>60</v>
      </c>
      <c r="D657" s="39">
        <v>9.8</v>
      </c>
      <c r="E657" s="36" t="s">
        <v>55</v>
      </c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7" t="s">
        <v>9</v>
      </c>
      <c r="B658" s="38">
        <f>IFERROR(__xludf.DUMMYFUNCTION("""COMPUTED_VALUE"""),30.0)</f>
        <v>30</v>
      </c>
      <c r="C658" s="36" t="s">
        <v>60</v>
      </c>
      <c r="D658" s="39">
        <v>15.3</v>
      </c>
      <c r="E658" s="36" t="s">
        <v>55</v>
      </c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7" t="s">
        <v>10</v>
      </c>
      <c r="B659" s="38">
        <f>IFERROR(__xludf.DUMMYFUNCTION("""COMPUTED_VALUE"""),10.0)</f>
        <v>10</v>
      </c>
      <c r="C659" s="36" t="s">
        <v>60</v>
      </c>
      <c r="D659" s="39">
        <v>5.4</v>
      </c>
      <c r="E659" s="36" t="s">
        <v>55</v>
      </c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7" t="s">
        <v>11</v>
      </c>
      <c r="B660" s="38">
        <f>IFERROR(__xludf.DUMMYFUNCTION("""COMPUTED_VALUE"""),20.0)</f>
        <v>20</v>
      </c>
      <c r="C660" s="36" t="s">
        <v>60</v>
      </c>
      <c r="D660" s="39">
        <v>12.3</v>
      </c>
      <c r="E660" s="36" t="s">
        <v>55</v>
      </c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7" t="s">
        <v>12</v>
      </c>
      <c r="B661" s="38">
        <f>IFERROR(__xludf.DUMMYFUNCTION("""COMPUTED_VALUE"""),30.0)</f>
        <v>30</v>
      </c>
      <c r="C661" s="36" t="s">
        <v>60</v>
      </c>
      <c r="D661" s="39">
        <v>14.6</v>
      </c>
      <c r="E661" s="36" t="s">
        <v>55</v>
      </c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7" t="s">
        <v>13</v>
      </c>
      <c r="B662" s="38">
        <f>IFERROR(__xludf.DUMMYFUNCTION("""COMPUTED_VALUE"""),10.0)</f>
        <v>10</v>
      </c>
      <c r="C662" s="36" t="s">
        <v>60</v>
      </c>
      <c r="D662" s="39">
        <v>4.7</v>
      </c>
      <c r="E662" s="36" t="s">
        <v>55</v>
      </c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7" t="s">
        <v>14</v>
      </c>
      <c r="B663" s="38">
        <f>IFERROR(__xludf.DUMMYFUNCTION("""COMPUTED_VALUE"""),20.0)</f>
        <v>20</v>
      </c>
      <c r="C663" s="36" t="s">
        <v>60</v>
      </c>
      <c r="D663" s="39">
        <v>9.9</v>
      </c>
      <c r="E663" s="36" t="s">
        <v>55</v>
      </c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7" t="s">
        <v>15</v>
      </c>
      <c r="B664" s="38">
        <f>IFERROR(__xludf.DUMMYFUNCTION("""COMPUTED_VALUE"""),30.0)</f>
        <v>30</v>
      </c>
      <c r="C664" s="36" t="s">
        <v>60</v>
      </c>
      <c r="D664" s="39">
        <v>12.8</v>
      </c>
      <c r="E664" s="36" t="s">
        <v>55</v>
      </c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7" t="s">
        <v>16</v>
      </c>
      <c r="B665" s="38">
        <f>IFERROR(__xludf.DUMMYFUNCTION("""COMPUTED_VALUE"""),10.0)</f>
        <v>10</v>
      </c>
      <c r="C665" s="36" t="s">
        <v>60</v>
      </c>
      <c r="D665" s="39">
        <v>4.9</v>
      </c>
      <c r="E665" s="36" t="s">
        <v>55</v>
      </c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7" t="s">
        <v>17</v>
      </c>
      <c r="B666" s="38">
        <f>IFERROR(__xludf.DUMMYFUNCTION("""COMPUTED_VALUE"""),20.0)</f>
        <v>20</v>
      </c>
      <c r="C666" s="36" t="s">
        <v>60</v>
      </c>
      <c r="D666" s="39">
        <v>9.8</v>
      </c>
      <c r="E666" s="36" t="s">
        <v>55</v>
      </c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7" t="s">
        <v>18</v>
      </c>
      <c r="B667" s="38">
        <f>IFERROR(__xludf.DUMMYFUNCTION("""COMPUTED_VALUE"""),30.0)</f>
        <v>30</v>
      </c>
      <c r="C667" s="36" t="s">
        <v>60</v>
      </c>
      <c r="D667" s="39">
        <v>14.3</v>
      </c>
      <c r="E667" s="36" t="s">
        <v>55</v>
      </c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7" t="s">
        <v>19</v>
      </c>
      <c r="B668" s="38">
        <f>IFERROR(__xludf.DUMMYFUNCTION("""COMPUTED_VALUE"""),10.0)</f>
        <v>10</v>
      </c>
      <c r="C668" s="36" t="s">
        <v>60</v>
      </c>
      <c r="D668" s="39">
        <v>5.3</v>
      </c>
      <c r="E668" s="36" t="s">
        <v>55</v>
      </c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7" t="s">
        <v>20</v>
      </c>
      <c r="B669" s="38">
        <f>IFERROR(__xludf.DUMMYFUNCTION("""COMPUTED_VALUE"""),20.0)</f>
        <v>20</v>
      </c>
      <c r="C669" s="36" t="s">
        <v>60</v>
      </c>
      <c r="D669" s="39">
        <v>9.4</v>
      </c>
      <c r="E669" s="36" t="s">
        <v>55</v>
      </c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7" t="s">
        <v>21</v>
      </c>
      <c r="B670" s="38">
        <f>IFERROR(__xludf.DUMMYFUNCTION("""COMPUTED_VALUE"""),30.0)</f>
        <v>30</v>
      </c>
      <c r="C670" s="36" t="s">
        <v>60</v>
      </c>
      <c r="D670" s="39">
        <v>15.1</v>
      </c>
      <c r="E670" s="36" t="s">
        <v>55</v>
      </c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7" t="s">
        <v>22</v>
      </c>
      <c r="B671" s="38">
        <f>IFERROR(__xludf.DUMMYFUNCTION("""COMPUTED_VALUE"""),10.0)</f>
        <v>10</v>
      </c>
      <c r="C671" s="36" t="s">
        <v>60</v>
      </c>
      <c r="D671" s="39">
        <v>4.8</v>
      </c>
      <c r="E671" s="36" t="s">
        <v>55</v>
      </c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7" t="s">
        <v>23</v>
      </c>
      <c r="B672" s="38">
        <f>IFERROR(__xludf.DUMMYFUNCTION("""COMPUTED_VALUE"""),20.0)</f>
        <v>20</v>
      </c>
      <c r="C672" s="36" t="s">
        <v>60</v>
      </c>
      <c r="D672" s="39">
        <v>10.5</v>
      </c>
      <c r="E672" s="36" t="s">
        <v>55</v>
      </c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7" t="s">
        <v>24</v>
      </c>
      <c r="B673" s="38">
        <f>IFERROR(__xludf.DUMMYFUNCTION("""COMPUTED_VALUE"""),30.0)</f>
        <v>30</v>
      </c>
      <c r="C673" s="36" t="s">
        <v>60</v>
      </c>
      <c r="D673" s="39">
        <v>15.3</v>
      </c>
      <c r="E673" s="36" t="s">
        <v>55</v>
      </c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7" t="s">
        <v>1</v>
      </c>
      <c r="B674" s="38">
        <f>IFERROR(__xludf.DUMMYFUNCTION("""COMPUTED_VALUE"""),10.0)</f>
        <v>10</v>
      </c>
      <c r="C674" s="36" t="s">
        <v>61</v>
      </c>
      <c r="D674" s="39">
        <v>1.2</v>
      </c>
      <c r="E674" s="36" t="s">
        <v>55</v>
      </c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7" t="s">
        <v>2</v>
      </c>
      <c r="B675" s="38">
        <f>IFERROR(__xludf.DUMMYFUNCTION("""COMPUTED_VALUE"""),20.0)</f>
        <v>20</v>
      </c>
      <c r="C675" s="36" t="s">
        <v>61</v>
      </c>
      <c r="D675" s="39">
        <v>1.6</v>
      </c>
      <c r="E675" s="36" t="s">
        <v>55</v>
      </c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7" t="s">
        <v>3</v>
      </c>
      <c r="B676" s="38">
        <f>IFERROR(__xludf.DUMMYFUNCTION("""COMPUTED_VALUE"""),30.0)</f>
        <v>30</v>
      </c>
      <c r="C676" s="36" t="s">
        <v>61</v>
      </c>
      <c r="D676" s="39">
        <v>2.5</v>
      </c>
      <c r="E676" s="36" t="s">
        <v>55</v>
      </c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7" t="s">
        <v>4</v>
      </c>
      <c r="B677" s="38">
        <f>IFERROR(__xludf.DUMMYFUNCTION("""COMPUTED_VALUE"""),10.0)</f>
        <v>10</v>
      </c>
      <c r="C677" s="36" t="s">
        <v>61</v>
      </c>
      <c r="D677" s="39">
        <v>1.0</v>
      </c>
      <c r="E677" s="36" t="s">
        <v>55</v>
      </c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7" t="s">
        <v>5</v>
      </c>
      <c r="B678" s="38">
        <f>IFERROR(__xludf.DUMMYFUNCTION("""COMPUTED_VALUE"""),20.0)</f>
        <v>20</v>
      </c>
      <c r="C678" s="36" t="s">
        <v>61</v>
      </c>
      <c r="D678" s="39">
        <v>1.6</v>
      </c>
      <c r="E678" s="36" t="s">
        <v>55</v>
      </c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7" t="s">
        <v>6</v>
      </c>
      <c r="B679" s="38">
        <f>IFERROR(__xludf.DUMMYFUNCTION("""COMPUTED_VALUE"""),30.0)</f>
        <v>30</v>
      </c>
      <c r="C679" s="36" t="s">
        <v>61</v>
      </c>
      <c r="D679" s="39">
        <v>2.4</v>
      </c>
      <c r="E679" s="36" t="s">
        <v>55</v>
      </c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7" t="s">
        <v>7</v>
      </c>
      <c r="B680" s="38">
        <f>IFERROR(__xludf.DUMMYFUNCTION("""COMPUTED_VALUE"""),10.0)</f>
        <v>10</v>
      </c>
      <c r="C680" s="36" t="s">
        <v>61</v>
      </c>
      <c r="D680" s="39">
        <v>1.0</v>
      </c>
      <c r="E680" s="36" t="s">
        <v>55</v>
      </c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7" t="s">
        <v>8</v>
      </c>
      <c r="B681" s="38">
        <f>IFERROR(__xludf.DUMMYFUNCTION("""COMPUTED_VALUE"""),20.0)</f>
        <v>20</v>
      </c>
      <c r="C681" s="36" t="s">
        <v>61</v>
      </c>
      <c r="D681" s="39">
        <v>1.9</v>
      </c>
      <c r="E681" s="36" t="s">
        <v>55</v>
      </c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7" t="s">
        <v>9</v>
      </c>
      <c r="B682" s="38">
        <f>IFERROR(__xludf.DUMMYFUNCTION("""COMPUTED_VALUE"""),30.0)</f>
        <v>30</v>
      </c>
      <c r="C682" s="36" t="s">
        <v>61</v>
      </c>
      <c r="D682" s="39">
        <v>2.9</v>
      </c>
      <c r="E682" s="36" t="s">
        <v>55</v>
      </c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7" t="s">
        <v>10</v>
      </c>
      <c r="B683" s="38">
        <f>IFERROR(__xludf.DUMMYFUNCTION("""COMPUTED_VALUE"""),10.0)</f>
        <v>10</v>
      </c>
      <c r="C683" s="36" t="s">
        <v>61</v>
      </c>
      <c r="D683" s="39">
        <v>1.1</v>
      </c>
      <c r="E683" s="36" t="s">
        <v>55</v>
      </c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7" t="s">
        <v>11</v>
      </c>
      <c r="B684" s="38">
        <f>IFERROR(__xludf.DUMMYFUNCTION("""COMPUTED_VALUE"""),20.0)</f>
        <v>20</v>
      </c>
      <c r="C684" s="36" t="s">
        <v>61</v>
      </c>
      <c r="D684" s="39">
        <v>1.9</v>
      </c>
      <c r="E684" s="36" t="s">
        <v>55</v>
      </c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7" t="s">
        <v>12</v>
      </c>
      <c r="B685" s="38">
        <f>IFERROR(__xludf.DUMMYFUNCTION("""COMPUTED_VALUE"""),30.0)</f>
        <v>30</v>
      </c>
      <c r="C685" s="36" t="s">
        <v>61</v>
      </c>
      <c r="D685" s="39">
        <v>2.8</v>
      </c>
      <c r="E685" s="36" t="s">
        <v>55</v>
      </c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7" t="s">
        <v>13</v>
      </c>
      <c r="B686" s="38">
        <f>IFERROR(__xludf.DUMMYFUNCTION("""COMPUTED_VALUE"""),10.0)</f>
        <v>10</v>
      </c>
      <c r="C686" s="36" t="s">
        <v>61</v>
      </c>
      <c r="D686" s="39">
        <v>1.0</v>
      </c>
      <c r="E686" s="36" t="s">
        <v>55</v>
      </c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7" t="s">
        <v>14</v>
      </c>
      <c r="B687" s="38">
        <f>IFERROR(__xludf.DUMMYFUNCTION("""COMPUTED_VALUE"""),20.0)</f>
        <v>20</v>
      </c>
      <c r="C687" s="36" t="s">
        <v>61</v>
      </c>
      <c r="D687" s="39">
        <v>2.1</v>
      </c>
      <c r="E687" s="36" t="s">
        <v>55</v>
      </c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7" t="s">
        <v>15</v>
      </c>
      <c r="B688" s="38">
        <f>IFERROR(__xludf.DUMMYFUNCTION("""COMPUTED_VALUE"""),30.0)</f>
        <v>30</v>
      </c>
      <c r="C688" s="36" t="s">
        <v>61</v>
      </c>
      <c r="D688" s="39">
        <v>2.7</v>
      </c>
      <c r="E688" s="36" t="s">
        <v>55</v>
      </c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7" t="s">
        <v>16</v>
      </c>
      <c r="B689" s="38">
        <f>IFERROR(__xludf.DUMMYFUNCTION("""COMPUTED_VALUE"""),10.0)</f>
        <v>10</v>
      </c>
      <c r="C689" s="36" t="s">
        <v>61</v>
      </c>
      <c r="D689" s="39">
        <v>1.0</v>
      </c>
      <c r="E689" s="36" t="s">
        <v>55</v>
      </c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7" t="s">
        <v>17</v>
      </c>
      <c r="B690" s="38">
        <f>IFERROR(__xludf.DUMMYFUNCTION("""COMPUTED_VALUE"""),20.0)</f>
        <v>20</v>
      </c>
      <c r="C690" s="36" t="s">
        <v>61</v>
      </c>
      <c r="D690" s="39">
        <v>2.0</v>
      </c>
      <c r="E690" s="36" t="s">
        <v>55</v>
      </c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7" t="s">
        <v>18</v>
      </c>
      <c r="B691" s="38">
        <f>IFERROR(__xludf.DUMMYFUNCTION("""COMPUTED_VALUE"""),30.0)</f>
        <v>30</v>
      </c>
      <c r="C691" s="36" t="s">
        <v>61</v>
      </c>
      <c r="D691" s="39">
        <v>2.5</v>
      </c>
      <c r="E691" s="36" t="s">
        <v>55</v>
      </c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7" t="s">
        <v>19</v>
      </c>
      <c r="B692" s="38">
        <f>IFERROR(__xludf.DUMMYFUNCTION("""COMPUTED_VALUE"""),10.0)</f>
        <v>10</v>
      </c>
      <c r="C692" s="36" t="s">
        <v>61</v>
      </c>
      <c r="D692" s="39">
        <v>1.0</v>
      </c>
      <c r="E692" s="36" t="s">
        <v>55</v>
      </c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7" t="s">
        <v>20</v>
      </c>
      <c r="B693" s="38">
        <f>IFERROR(__xludf.DUMMYFUNCTION("""COMPUTED_VALUE"""),20.0)</f>
        <v>20</v>
      </c>
      <c r="C693" s="36" t="s">
        <v>61</v>
      </c>
      <c r="D693" s="39">
        <v>2.3</v>
      </c>
      <c r="E693" s="36" t="s">
        <v>55</v>
      </c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7" t="s">
        <v>21</v>
      </c>
      <c r="B694" s="38">
        <f>IFERROR(__xludf.DUMMYFUNCTION("""COMPUTED_VALUE"""),30.0)</f>
        <v>30</v>
      </c>
      <c r="C694" s="36" t="s">
        <v>61</v>
      </c>
      <c r="D694" s="39">
        <v>2.5</v>
      </c>
      <c r="E694" s="36" t="s">
        <v>55</v>
      </c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7" t="s">
        <v>22</v>
      </c>
      <c r="B695" s="38">
        <f>IFERROR(__xludf.DUMMYFUNCTION("""COMPUTED_VALUE"""),10.0)</f>
        <v>10</v>
      </c>
      <c r="C695" s="36" t="s">
        <v>61</v>
      </c>
      <c r="D695" s="39">
        <v>0.9</v>
      </c>
      <c r="E695" s="36" t="s">
        <v>55</v>
      </c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7" t="s">
        <v>23</v>
      </c>
      <c r="B696" s="38">
        <f>IFERROR(__xludf.DUMMYFUNCTION("""COMPUTED_VALUE"""),20.0)</f>
        <v>20</v>
      </c>
      <c r="C696" s="36" t="s">
        <v>61</v>
      </c>
      <c r="D696" s="39">
        <v>1.7</v>
      </c>
      <c r="E696" s="36" t="s">
        <v>55</v>
      </c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7" t="s">
        <v>24</v>
      </c>
      <c r="B697" s="38">
        <f>IFERROR(__xludf.DUMMYFUNCTION("""COMPUTED_VALUE"""),30.0)</f>
        <v>30</v>
      </c>
      <c r="C697" s="36" t="s">
        <v>61</v>
      </c>
      <c r="D697" s="39">
        <v>2.6</v>
      </c>
      <c r="E697" s="36" t="s">
        <v>55</v>
      </c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7" t="s">
        <v>1</v>
      </c>
      <c r="B698" s="38">
        <f>IFERROR(__xludf.DUMMYFUNCTION("""COMPUTED_VALUE"""),10.0)</f>
        <v>10</v>
      </c>
      <c r="C698" s="36" t="s">
        <v>62</v>
      </c>
      <c r="D698" s="39">
        <v>26.9</v>
      </c>
      <c r="E698" s="36" t="s">
        <v>55</v>
      </c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7" t="s">
        <v>2</v>
      </c>
      <c r="B699" s="38">
        <f>IFERROR(__xludf.DUMMYFUNCTION("""COMPUTED_VALUE"""),20.0)</f>
        <v>20</v>
      </c>
      <c r="C699" s="36" t="s">
        <v>62</v>
      </c>
      <c r="D699" s="39">
        <v>14.4</v>
      </c>
      <c r="E699" s="36" t="s">
        <v>55</v>
      </c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7" t="s">
        <v>3</v>
      </c>
      <c r="B700" s="38">
        <f>IFERROR(__xludf.DUMMYFUNCTION("""COMPUTED_VALUE"""),30.0)</f>
        <v>30</v>
      </c>
      <c r="C700" s="36" t="s">
        <v>62</v>
      </c>
      <c r="D700" s="39">
        <v>10.1</v>
      </c>
      <c r="E700" s="36" t="s">
        <v>55</v>
      </c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7" t="s">
        <v>4</v>
      </c>
      <c r="B701" s="38">
        <f>IFERROR(__xludf.DUMMYFUNCTION("""COMPUTED_VALUE"""),10.0)</f>
        <v>10</v>
      </c>
      <c r="C701" s="36" t="s">
        <v>62</v>
      </c>
      <c r="D701" s="39">
        <v>23.7</v>
      </c>
      <c r="E701" s="36" t="s">
        <v>55</v>
      </c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7" t="s">
        <v>5</v>
      </c>
      <c r="B702" s="38">
        <f>IFERROR(__xludf.DUMMYFUNCTION("""COMPUTED_VALUE"""),20.0)</f>
        <v>20</v>
      </c>
      <c r="C702" s="36" t="s">
        <v>62</v>
      </c>
      <c r="D702" s="39">
        <v>12.7</v>
      </c>
      <c r="E702" s="36" t="s">
        <v>55</v>
      </c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7" t="s">
        <v>6</v>
      </c>
      <c r="B703" s="38">
        <f>IFERROR(__xludf.DUMMYFUNCTION("""COMPUTED_VALUE"""),30.0)</f>
        <v>30</v>
      </c>
      <c r="C703" s="36" t="s">
        <v>62</v>
      </c>
      <c r="D703" s="39">
        <v>8.8</v>
      </c>
      <c r="E703" s="36" t="s">
        <v>55</v>
      </c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7" t="s">
        <v>7</v>
      </c>
      <c r="B704" s="38">
        <f>IFERROR(__xludf.DUMMYFUNCTION("""COMPUTED_VALUE"""),10.0)</f>
        <v>10</v>
      </c>
      <c r="C704" s="36" t="s">
        <v>62</v>
      </c>
      <c r="D704" s="39">
        <v>23.8</v>
      </c>
      <c r="E704" s="36" t="s">
        <v>55</v>
      </c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7" t="s">
        <v>8</v>
      </c>
      <c r="B705" s="38">
        <f>IFERROR(__xludf.DUMMYFUNCTION("""COMPUTED_VALUE"""),20.0)</f>
        <v>20</v>
      </c>
      <c r="C705" s="36" t="s">
        <v>62</v>
      </c>
      <c r="D705" s="39">
        <v>12.6</v>
      </c>
      <c r="E705" s="36" t="s">
        <v>55</v>
      </c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7" t="s">
        <v>9</v>
      </c>
      <c r="B706" s="38">
        <f>IFERROR(__xludf.DUMMYFUNCTION("""COMPUTED_VALUE"""),30.0)</f>
        <v>30</v>
      </c>
      <c r="C706" s="36" t="s">
        <v>62</v>
      </c>
      <c r="D706" s="39">
        <v>8.7</v>
      </c>
      <c r="E706" s="36" t="s">
        <v>55</v>
      </c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7" t="s">
        <v>10</v>
      </c>
      <c r="B707" s="38">
        <f>IFERROR(__xludf.DUMMYFUNCTION("""COMPUTED_VALUE"""),10.0)</f>
        <v>10</v>
      </c>
      <c r="C707" s="36" t="s">
        <v>62</v>
      </c>
      <c r="D707" s="39">
        <v>23.7</v>
      </c>
      <c r="E707" s="36" t="s">
        <v>55</v>
      </c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7" t="s">
        <v>11</v>
      </c>
      <c r="B708" s="38">
        <f>IFERROR(__xludf.DUMMYFUNCTION("""COMPUTED_VALUE"""),20.0)</f>
        <v>20</v>
      </c>
      <c r="C708" s="36" t="s">
        <v>62</v>
      </c>
      <c r="D708" s="39">
        <v>13.5</v>
      </c>
      <c r="E708" s="36" t="s">
        <v>55</v>
      </c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7" t="s">
        <v>12</v>
      </c>
      <c r="B709" s="38">
        <f>IFERROR(__xludf.DUMMYFUNCTION("""COMPUTED_VALUE"""),30.0)</f>
        <v>30</v>
      </c>
      <c r="C709" s="36" t="s">
        <v>62</v>
      </c>
      <c r="D709" s="39">
        <v>9.0</v>
      </c>
      <c r="E709" s="36" t="s">
        <v>55</v>
      </c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7" t="s">
        <v>13</v>
      </c>
      <c r="B710" s="38">
        <f>IFERROR(__xludf.DUMMYFUNCTION("""COMPUTED_VALUE"""),10.0)</f>
        <v>10</v>
      </c>
      <c r="C710" s="36" t="s">
        <v>62</v>
      </c>
      <c r="D710" s="39">
        <v>23.5</v>
      </c>
      <c r="E710" s="36" t="s">
        <v>55</v>
      </c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7" t="s">
        <v>14</v>
      </c>
      <c r="B711" s="38">
        <f>IFERROR(__xludf.DUMMYFUNCTION("""COMPUTED_VALUE"""),20.0)</f>
        <v>20</v>
      </c>
      <c r="C711" s="36" t="s">
        <v>62</v>
      </c>
      <c r="D711" s="39">
        <v>12.6</v>
      </c>
      <c r="E711" s="36" t="s">
        <v>55</v>
      </c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7" t="s">
        <v>15</v>
      </c>
      <c r="B712" s="38">
        <f>IFERROR(__xludf.DUMMYFUNCTION("""COMPUTED_VALUE"""),30.0)</f>
        <v>30</v>
      </c>
      <c r="C712" s="36" t="s">
        <v>62</v>
      </c>
      <c r="D712" s="39">
        <v>8.6</v>
      </c>
      <c r="E712" s="36" t="s">
        <v>55</v>
      </c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7" t="s">
        <v>16</v>
      </c>
      <c r="B713" s="38">
        <f>IFERROR(__xludf.DUMMYFUNCTION("""COMPUTED_VALUE"""),10.0)</f>
        <v>10</v>
      </c>
      <c r="C713" s="36" t="s">
        <v>62</v>
      </c>
      <c r="D713" s="39">
        <v>24.4</v>
      </c>
      <c r="E713" s="36" t="s">
        <v>55</v>
      </c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7" t="s">
        <v>17</v>
      </c>
      <c r="B714" s="38">
        <f>IFERROR(__xludf.DUMMYFUNCTION("""COMPUTED_VALUE"""),20.0)</f>
        <v>20</v>
      </c>
      <c r="C714" s="36" t="s">
        <v>62</v>
      </c>
      <c r="D714" s="39">
        <v>12.5</v>
      </c>
      <c r="E714" s="36" t="s">
        <v>55</v>
      </c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7" t="s">
        <v>18</v>
      </c>
      <c r="B715" s="38">
        <f>IFERROR(__xludf.DUMMYFUNCTION("""COMPUTED_VALUE"""),30.0)</f>
        <v>30</v>
      </c>
      <c r="C715" s="36" t="s">
        <v>62</v>
      </c>
      <c r="D715" s="39">
        <v>9.4</v>
      </c>
      <c r="E715" s="36" t="s">
        <v>55</v>
      </c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7" t="s">
        <v>19</v>
      </c>
      <c r="B716" s="38">
        <f>IFERROR(__xludf.DUMMYFUNCTION("""COMPUTED_VALUE"""),10.0)</f>
        <v>10</v>
      </c>
      <c r="C716" s="36" t="s">
        <v>62</v>
      </c>
      <c r="D716" s="39">
        <v>23.4</v>
      </c>
      <c r="E716" s="36" t="s">
        <v>55</v>
      </c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7" t="s">
        <v>20</v>
      </c>
      <c r="B717" s="38">
        <f>IFERROR(__xludf.DUMMYFUNCTION("""COMPUTED_VALUE"""),20.0)</f>
        <v>20</v>
      </c>
      <c r="C717" s="36" t="s">
        <v>62</v>
      </c>
      <c r="D717" s="39">
        <v>12.7</v>
      </c>
      <c r="E717" s="36" t="s">
        <v>55</v>
      </c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7" t="s">
        <v>21</v>
      </c>
      <c r="B718" s="38">
        <f>IFERROR(__xludf.DUMMYFUNCTION("""COMPUTED_VALUE"""),30.0)</f>
        <v>30</v>
      </c>
      <c r="C718" s="36" t="s">
        <v>62</v>
      </c>
      <c r="D718" s="39">
        <v>8.8</v>
      </c>
      <c r="E718" s="36" t="s">
        <v>55</v>
      </c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7" t="s">
        <v>22</v>
      </c>
      <c r="B719" s="38">
        <f>IFERROR(__xludf.DUMMYFUNCTION("""COMPUTED_VALUE"""),10.0)</f>
        <v>10</v>
      </c>
      <c r="C719" s="36" t="s">
        <v>62</v>
      </c>
      <c r="D719" s="39">
        <v>22.3</v>
      </c>
      <c r="E719" s="36" t="s">
        <v>55</v>
      </c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7" t="s">
        <v>23</v>
      </c>
      <c r="B720" s="38">
        <f>IFERROR(__xludf.DUMMYFUNCTION("""COMPUTED_VALUE"""),20.0)</f>
        <v>20</v>
      </c>
      <c r="C720" s="36" t="s">
        <v>62</v>
      </c>
      <c r="D720" s="39">
        <v>12.2</v>
      </c>
      <c r="E720" s="36" t="s">
        <v>55</v>
      </c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7" t="s">
        <v>24</v>
      </c>
      <c r="B721" s="38">
        <f>IFERROR(__xludf.DUMMYFUNCTION("""COMPUTED_VALUE"""),30.0)</f>
        <v>30</v>
      </c>
      <c r="C721" s="36" t="s">
        <v>62</v>
      </c>
      <c r="D721" s="39">
        <v>8.4</v>
      </c>
      <c r="E721" s="36" t="s">
        <v>55</v>
      </c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7" t="s">
        <v>1</v>
      </c>
      <c r="B722" s="38">
        <f>IFERROR(__xludf.DUMMYFUNCTION("""COMPUTED_VALUE"""),10.0)</f>
        <v>10</v>
      </c>
      <c r="C722" s="36" t="s">
        <v>63</v>
      </c>
      <c r="D722" s="39">
        <v>31.8</v>
      </c>
      <c r="E722" s="36" t="s">
        <v>55</v>
      </c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7" t="s">
        <v>2</v>
      </c>
      <c r="B723" s="38">
        <f>IFERROR(__xludf.DUMMYFUNCTION("""COMPUTED_VALUE"""),20.0)</f>
        <v>20</v>
      </c>
      <c r="C723" s="36" t="s">
        <v>63</v>
      </c>
      <c r="D723" s="39">
        <v>17.4</v>
      </c>
      <c r="E723" s="36" t="s">
        <v>55</v>
      </c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7" t="s">
        <v>3</v>
      </c>
      <c r="B724" s="38">
        <f>IFERROR(__xludf.DUMMYFUNCTION("""COMPUTED_VALUE"""),30.0)</f>
        <v>30</v>
      </c>
      <c r="C724" s="36" t="s">
        <v>63</v>
      </c>
      <c r="D724" s="39">
        <v>12.0</v>
      </c>
      <c r="E724" s="36" t="s">
        <v>55</v>
      </c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7" t="s">
        <v>4</v>
      </c>
      <c r="B725" s="38">
        <f>IFERROR(__xludf.DUMMYFUNCTION("""COMPUTED_VALUE"""),10.0)</f>
        <v>10</v>
      </c>
      <c r="C725" s="36" t="s">
        <v>63</v>
      </c>
      <c r="D725" s="39">
        <v>27.1</v>
      </c>
      <c r="E725" s="36" t="s">
        <v>55</v>
      </c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7" t="s">
        <v>5</v>
      </c>
      <c r="B726" s="38">
        <f>IFERROR(__xludf.DUMMYFUNCTION("""COMPUTED_VALUE"""),20.0)</f>
        <v>20</v>
      </c>
      <c r="C726" s="36" t="s">
        <v>63</v>
      </c>
      <c r="D726" s="39">
        <v>14.2</v>
      </c>
      <c r="E726" s="36" t="s">
        <v>55</v>
      </c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7" t="s">
        <v>6</v>
      </c>
      <c r="B727" s="38">
        <f>IFERROR(__xludf.DUMMYFUNCTION("""COMPUTED_VALUE"""),30.0)</f>
        <v>30</v>
      </c>
      <c r="C727" s="36" t="s">
        <v>63</v>
      </c>
      <c r="D727" s="39">
        <v>9.9</v>
      </c>
      <c r="E727" s="36" t="s">
        <v>55</v>
      </c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7" t="s">
        <v>7</v>
      </c>
      <c r="B728" s="38">
        <f>IFERROR(__xludf.DUMMYFUNCTION("""COMPUTED_VALUE"""),10.0)</f>
        <v>10</v>
      </c>
      <c r="C728" s="36" t="s">
        <v>63</v>
      </c>
      <c r="D728" s="39">
        <v>27.0</v>
      </c>
      <c r="E728" s="36" t="s">
        <v>55</v>
      </c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7" t="s">
        <v>8</v>
      </c>
      <c r="B729" s="38">
        <f>IFERROR(__xludf.DUMMYFUNCTION("""COMPUTED_VALUE"""),20.0)</f>
        <v>20</v>
      </c>
      <c r="C729" s="36" t="s">
        <v>63</v>
      </c>
      <c r="D729" s="39">
        <v>14.7</v>
      </c>
      <c r="E729" s="36" t="s">
        <v>55</v>
      </c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7" t="s">
        <v>9</v>
      </c>
      <c r="B730" s="38">
        <f>IFERROR(__xludf.DUMMYFUNCTION("""COMPUTED_VALUE"""),30.0)</f>
        <v>30</v>
      </c>
      <c r="C730" s="36" t="s">
        <v>63</v>
      </c>
      <c r="D730" s="39">
        <v>10.0</v>
      </c>
      <c r="E730" s="36" t="s">
        <v>55</v>
      </c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7" t="s">
        <v>10</v>
      </c>
      <c r="B731" s="38">
        <f>IFERROR(__xludf.DUMMYFUNCTION("""COMPUTED_VALUE"""),10.0)</f>
        <v>10</v>
      </c>
      <c r="C731" s="36" t="s">
        <v>63</v>
      </c>
      <c r="D731" s="39">
        <v>26.9</v>
      </c>
      <c r="E731" s="36" t="s">
        <v>55</v>
      </c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7" t="s">
        <v>11</v>
      </c>
      <c r="B732" s="38">
        <f>IFERROR(__xludf.DUMMYFUNCTION("""COMPUTED_VALUE"""),20.0)</f>
        <v>20</v>
      </c>
      <c r="C732" s="36" t="s">
        <v>63</v>
      </c>
      <c r="D732" s="39">
        <v>16.0</v>
      </c>
      <c r="E732" s="36" t="s">
        <v>55</v>
      </c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7" t="s">
        <v>12</v>
      </c>
      <c r="B733" s="38">
        <f>IFERROR(__xludf.DUMMYFUNCTION("""COMPUTED_VALUE"""),30.0)</f>
        <v>30</v>
      </c>
      <c r="C733" s="36" t="s">
        <v>63</v>
      </c>
      <c r="D733" s="39">
        <v>11.3</v>
      </c>
      <c r="E733" s="36" t="s">
        <v>55</v>
      </c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7" t="s">
        <v>13</v>
      </c>
      <c r="B734" s="38">
        <f>IFERROR(__xludf.DUMMYFUNCTION("""COMPUTED_VALUE"""),10.0)</f>
        <v>10</v>
      </c>
      <c r="C734" s="36" t="s">
        <v>63</v>
      </c>
      <c r="D734" s="39">
        <v>28.1</v>
      </c>
      <c r="E734" s="36" t="s">
        <v>55</v>
      </c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7" t="s">
        <v>14</v>
      </c>
      <c r="B735" s="38">
        <f>IFERROR(__xludf.DUMMYFUNCTION("""COMPUTED_VALUE"""),20.0)</f>
        <v>20</v>
      </c>
      <c r="C735" s="36" t="s">
        <v>63</v>
      </c>
      <c r="D735" s="39">
        <v>15.0</v>
      </c>
      <c r="E735" s="36" t="s">
        <v>55</v>
      </c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7" t="s">
        <v>15</v>
      </c>
      <c r="B736" s="38">
        <f>IFERROR(__xludf.DUMMYFUNCTION("""COMPUTED_VALUE"""),30.0)</f>
        <v>30</v>
      </c>
      <c r="C736" s="36" t="s">
        <v>63</v>
      </c>
      <c r="D736" s="39">
        <v>10.0</v>
      </c>
      <c r="E736" s="36" t="s">
        <v>55</v>
      </c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7" t="s">
        <v>16</v>
      </c>
      <c r="B737" s="38">
        <f>IFERROR(__xludf.DUMMYFUNCTION("""COMPUTED_VALUE"""),10.0)</f>
        <v>10</v>
      </c>
      <c r="C737" s="36" t="s">
        <v>63</v>
      </c>
      <c r="D737" s="39">
        <v>28.9</v>
      </c>
      <c r="E737" s="36" t="s">
        <v>55</v>
      </c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7" t="s">
        <v>17</v>
      </c>
      <c r="B738" s="38">
        <f>IFERROR(__xludf.DUMMYFUNCTION("""COMPUTED_VALUE"""),20.0)</f>
        <v>20</v>
      </c>
      <c r="C738" s="36" t="s">
        <v>63</v>
      </c>
      <c r="D738" s="39">
        <v>14.8</v>
      </c>
      <c r="E738" s="36" t="s">
        <v>55</v>
      </c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7" t="s">
        <v>18</v>
      </c>
      <c r="B739" s="38">
        <f>IFERROR(__xludf.DUMMYFUNCTION("""COMPUTED_VALUE"""),30.0)</f>
        <v>30</v>
      </c>
      <c r="C739" s="36" t="s">
        <v>63</v>
      </c>
      <c r="D739" s="39">
        <v>11.0</v>
      </c>
      <c r="E739" s="36" t="s">
        <v>55</v>
      </c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7" t="s">
        <v>19</v>
      </c>
      <c r="B740" s="38">
        <f>IFERROR(__xludf.DUMMYFUNCTION("""COMPUTED_VALUE"""),10.0)</f>
        <v>10</v>
      </c>
      <c r="C740" s="36" t="s">
        <v>63</v>
      </c>
      <c r="D740" s="39">
        <v>26.6</v>
      </c>
      <c r="E740" s="36" t="s">
        <v>55</v>
      </c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7" t="s">
        <v>20</v>
      </c>
      <c r="B741" s="38">
        <f>IFERROR(__xludf.DUMMYFUNCTION("""COMPUTED_VALUE"""),20.0)</f>
        <v>20</v>
      </c>
      <c r="C741" s="36" t="s">
        <v>63</v>
      </c>
      <c r="D741" s="39">
        <v>14.7</v>
      </c>
      <c r="E741" s="36" t="s">
        <v>55</v>
      </c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7" t="s">
        <v>21</v>
      </c>
      <c r="B742" s="38">
        <f>IFERROR(__xludf.DUMMYFUNCTION("""COMPUTED_VALUE"""),30.0)</f>
        <v>30</v>
      </c>
      <c r="C742" s="36" t="s">
        <v>63</v>
      </c>
      <c r="D742" s="39">
        <v>10.0</v>
      </c>
      <c r="E742" s="36" t="s">
        <v>55</v>
      </c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7" t="s">
        <v>22</v>
      </c>
      <c r="B743" s="38">
        <f>IFERROR(__xludf.DUMMYFUNCTION("""COMPUTED_VALUE"""),10.0)</f>
        <v>10</v>
      </c>
      <c r="C743" s="36" t="s">
        <v>63</v>
      </c>
      <c r="D743" s="39">
        <v>25.4</v>
      </c>
      <c r="E743" s="36" t="s">
        <v>55</v>
      </c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7" t="s">
        <v>23</v>
      </c>
      <c r="B744" s="38">
        <f>IFERROR(__xludf.DUMMYFUNCTION("""COMPUTED_VALUE"""),20.0)</f>
        <v>20</v>
      </c>
      <c r="C744" s="36" t="s">
        <v>63</v>
      </c>
      <c r="D744" s="39">
        <v>13.6</v>
      </c>
      <c r="E744" s="36" t="s">
        <v>55</v>
      </c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7" t="s">
        <v>24</v>
      </c>
      <c r="B745" s="38">
        <f>IFERROR(__xludf.DUMMYFUNCTION("""COMPUTED_VALUE"""),30.0)</f>
        <v>30</v>
      </c>
      <c r="C745" s="36" t="s">
        <v>63</v>
      </c>
      <c r="D745" s="39">
        <v>9.4</v>
      </c>
      <c r="E745" s="36" t="s">
        <v>55</v>
      </c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7" t="s">
        <v>1</v>
      </c>
      <c r="B746" s="38">
        <f>IFERROR(__xludf.DUMMYFUNCTION("""COMPUTED_VALUE"""),10.0)</f>
        <v>10</v>
      </c>
      <c r="C746" s="36" t="s">
        <v>64</v>
      </c>
      <c r="D746" s="39">
        <v>6.7</v>
      </c>
      <c r="E746" s="36" t="s">
        <v>55</v>
      </c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7" t="s">
        <v>2</v>
      </c>
      <c r="B747" s="38">
        <f>IFERROR(__xludf.DUMMYFUNCTION("""COMPUTED_VALUE"""),20.0)</f>
        <v>20</v>
      </c>
      <c r="C747" s="36" t="s">
        <v>64</v>
      </c>
      <c r="D747" s="39">
        <v>4.0</v>
      </c>
      <c r="E747" s="36" t="s">
        <v>55</v>
      </c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7" t="s">
        <v>3</v>
      </c>
      <c r="B748" s="38">
        <f>IFERROR(__xludf.DUMMYFUNCTION("""COMPUTED_VALUE"""),30.0)</f>
        <v>30</v>
      </c>
      <c r="C748" s="36" t="s">
        <v>64</v>
      </c>
      <c r="D748" s="39">
        <v>2.7</v>
      </c>
      <c r="E748" s="36" t="s">
        <v>55</v>
      </c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7" t="s">
        <v>4</v>
      </c>
      <c r="B749" s="38">
        <f>IFERROR(__xludf.DUMMYFUNCTION("""COMPUTED_VALUE"""),10.0)</f>
        <v>10</v>
      </c>
      <c r="C749" s="36" t="s">
        <v>64</v>
      </c>
      <c r="D749" s="39">
        <v>7.3</v>
      </c>
      <c r="E749" s="36" t="s">
        <v>55</v>
      </c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7" t="s">
        <v>5</v>
      </c>
      <c r="B750" s="38">
        <f>IFERROR(__xludf.DUMMYFUNCTION("""COMPUTED_VALUE"""),20.0)</f>
        <v>20</v>
      </c>
      <c r="C750" s="36" t="s">
        <v>64</v>
      </c>
      <c r="D750" s="39">
        <v>3.8</v>
      </c>
      <c r="E750" s="36" t="s">
        <v>55</v>
      </c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7" t="s">
        <v>6</v>
      </c>
      <c r="B751" s="38">
        <f>IFERROR(__xludf.DUMMYFUNCTION("""COMPUTED_VALUE"""),30.0)</f>
        <v>30</v>
      </c>
      <c r="C751" s="36" t="s">
        <v>64</v>
      </c>
      <c r="D751" s="39">
        <v>2.6</v>
      </c>
      <c r="E751" s="36" t="s">
        <v>55</v>
      </c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7" t="s">
        <v>7</v>
      </c>
      <c r="B752" s="38">
        <f>IFERROR(__xludf.DUMMYFUNCTION("""COMPUTED_VALUE"""),10.0)</f>
        <v>10</v>
      </c>
      <c r="C752" s="36" t="s">
        <v>64</v>
      </c>
      <c r="D752" s="39">
        <v>9.4</v>
      </c>
      <c r="E752" s="36" t="s">
        <v>55</v>
      </c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7" t="s">
        <v>8</v>
      </c>
      <c r="B753" s="38">
        <f>IFERROR(__xludf.DUMMYFUNCTION("""COMPUTED_VALUE"""),20.0)</f>
        <v>20</v>
      </c>
      <c r="C753" s="36" t="s">
        <v>64</v>
      </c>
      <c r="D753" s="39">
        <v>4.7</v>
      </c>
      <c r="E753" s="36" t="s">
        <v>55</v>
      </c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7" t="s">
        <v>9</v>
      </c>
      <c r="B754" s="38">
        <f>IFERROR(__xludf.DUMMYFUNCTION("""COMPUTED_VALUE"""),30.0)</f>
        <v>30</v>
      </c>
      <c r="C754" s="36" t="s">
        <v>64</v>
      </c>
      <c r="D754" s="39">
        <v>3.1</v>
      </c>
      <c r="E754" s="36" t="s">
        <v>55</v>
      </c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7" t="s">
        <v>10</v>
      </c>
      <c r="B755" s="38">
        <f>IFERROR(__xludf.DUMMYFUNCTION("""COMPUTED_VALUE"""),10.0)</f>
        <v>10</v>
      </c>
      <c r="C755" s="36" t="s">
        <v>64</v>
      </c>
      <c r="D755" s="39">
        <v>9.0</v>
      </c>
      <c r="E755" s="36" t="s">
        <v>55</v>
      </c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7" t="s">
        <v>11</v>
      </c>
      <c r="B756" s="38">
        <f>IFERROR(__xludf.DUMMYFUNCTION("""COMPUTED_VALUE"""),20.0)</f>
        <v>20</v>
      </c>
      <c r="C756" s="36" t="s">
        <v>64</v>
      </c>
      <c r="D756" s="39">
        <v>4.0</v>
      </c>
      <c r="E756" s="36" t="s">
        <v>55</v>
      </c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7" t="s">
        <v>12</v>
      </c>
      <c r="B757" s="38">
        <f>IFERROR(__xludf.DUMMYFUNCTION("""COMPUTED_VALUE"""),30.0)</f>
        <v>30</v>
      </c>
      <c r="C757" s="36" t="s">
        <v>64</v>
      </c>
      <c r="D757" s="39">
        <v>3.1</v>
      </c>
      <c r="E757" s="36" t="s">
        <v>55</v>
      </c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7" t="s">
        <v>13</v>
      </c>
      <c r="B758" s="38">
        <f>IFERROR(__xludf.DUMMYFUNCTION("""COMPUTED_VALUE"""),10.0)</f>
        <v>10</v>
      </c>
      <c r="C758" s="36" t="s">
        <v>64</v>
      </c>
      <c r="D758" s="39">
        <v>9.2</v>
      </c>
      <c r="E758" s="36" t="s">
        <v>55</v>
      </c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7" t="s">
        <v>14</v>
      </c>
      <c r="B759" s="38">
        <f>IFERROR(__xludf.DUMMYFUNCTION("""COMPUTED_VALUE"""),20.0)</f>
        <v>20</v>
      </c>
      <c r="C759" s="36" t="s">
        <v>64</v>
      </c>
      <c r="D759" s="39">
        <v>4.5</v>
      </c>
      <c r="E759" s="36" t="s">
        <v>55</v>
      </c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7" t="s">
        <v>15</v>
      </c>
      <c r="B760" s="38">
        <f>IFERROR(__xludf.DUMMYFUNCTION("""COMPUTED_VALUE"""),30.0)</f>
        <v>30</v>
      </c>
      <c r="C760" s="36" t="s">
        <v>64</v>
      </c>
      <c r="D760" s="39">
        <v>3.1</v>
      </c>
      <c r="E760" s="36" t="s">
        <v>55</v>
      </c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7" t="s">
        <v>16</v>
      </c>
      <c r="B761" s="38">
        <f>IFERROR(__xludf.DUMMYFUNCTION("""COMPUTED_VALUE"""),10.0)</f>
        <v>10</v>
      </c>
      <c r="C761" s="36" t="s">
        <v>64</v>
      </c>
      <c r="D761" s="39">
        <v>8.9</v>
      </c>
      <c r="E761" s="36" t="s">
        <v>55</v>
      </c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7" t="s">
        <v>17</v>
      </c>
      <c r="B762" s="38">
        <f>IFERROR(__xludf.DUMMYFUNCTION("""COMPUTED_VALUE"""),20.0)</f>
        <v>20</v>
      </c>
      <c r="C762" s="36" t="s">
        <v>64</v>
      </c>
      <c r="D762" s="39">
        <v>4.5</v>
      </c>
      <c r="E762" s="36" t="s">
        <v>55</v>
      </c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7" t="s">
        <v>18</v>
      </c>
      <c r="B763" s="38">
        <f>IFERROR(__xludf.DUMMYFUNCTION("""COMPUTED_VALUE"""),30.0)</f>
        <v>30</v>
      </c>
      <c r="C763" s="36" t="s">
        <v>64</v>
      </c>
      <c r="D763" s="39">
        <v>2.8</v>
      </c>
      <c r="E763" s="36" t="s">
        <v>55</v>
      </c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7" t="s">
        <v>19</v>
      </c>
      <c r="B764" s="38">
        <f>IFERROR(__xludf.DUMMYFUNCTION("""COMPUTED_VALUE"""),10.0)</f>
        <v>10</v>
      </c>
      <c r="C764" s="36" t="s">
        <v>64</v>
      </c>
      <c r="D764" s="39">
        <v>9.2</v>
      </c>
      <c r="E764" s="36" t="s">
        <v>55</v>
      </c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7" t="s">
        <v>20</v>
      </c>
      <c r="B765" s="38">
        <f>IFERROR(__xludf.DUMMYFUNCTION("""COMPUTED_VALUE"""),20.0)</f>
        <v>20</v>
      </c>
      <c r="C765" s="36" t="s">
        <v>64</v>
      </c>
      <c r="D765" s="39">
        <v>4.8</v>
      </c>
      <c r="E765" s="36" t="s">
        <v>55</v>
      </c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7" t="s">
        <v>21</v>
      </c>
      <c r="B766" s="38">
        <f>IFERROR(__xludf.DUMMYFUNCTION("""COMPUTED_VALUE"""),30.0)</f>
        <v>30</v>
      </c>
      <c r="C766" s="36" t="s">
        <v>64</v>
      </c>
      <c r="D766" s="39">
        <v>3.0</v>
      </c>
      <c r="E766" s="36" t="s">
        <v>55</v>
      </c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7" t="s">
        <v>22</v>
      </c>
      <c r="B767" s="38">
        <f>IFERROR(__xludf.DUMMYFUNCTION("""COMPUTED_VALUE"""),10.0)</f>
        <v>10</v>
      </c>
      <c r="C767" s="36" t="s">
        <v>64</v>
      </c>
      <c r="D767" s="39">
        <v>7.6</v>
      </c>
      <c r="E767" s="36" t="s">
        <v>55</v>
      </c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7" t="s">
        <v>23</v>
      </c>
      <c r="B768" s="38">
        <f>IFERROR(__xludf.DUMMYFUNCTION("""COMPUTED_VALUE"""),20.0)</f>
        <v>20</v>
      </c>
      <c r="C768" s="36" t="s">
        <v>64</v>
      </c>
      <c r="D768" s="39">
        <v>3.7</v>
      </c>
      <c r="E768" s="36" t="s">
        <v>55</v>
      </c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7" t="s">
        <v>24</v>
      </c>
      <c r="B769" s="38">
        <f>IFERROR(__xludf.DUMMYFUNCTION("""COMPUTED_VALUE"""),30.0)</f>
        <v>30</v>
      </c>
      <c r="C769" s="36" t="s">
        <v>64</v>
      </c>
      <c r="D769" s="39">
        <v>2.3</v>
      </c>
      <c r="E769" s="36" t="s">
        <v>55</v>
      </c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7" t="s">
        <v>1</v>
      </c>
      <c r="B770" s="38">
        <f>IFERROR(__xludf.DUMMYFUNCTION("""COMPUTED_VALUE"""),10.0)</f>
        <v>10</v>
      </c>
      <c r="C770" s="36" t="s">
        <v>65</v>
      </c>
      <c r="D770" s="39">
        <v>40.3</v>
      </c>
      <c r="E770" s="36" t="s">
        <v>55</v>
      </c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7" t="s">
        <v>2</v>
      </c>
      <c r="B771" s="38">
        <f>IFERROR(__xludf.DUMMYFUNCTION("""COMPUTED_VALUE"""),20.0)</f>
        <v>20</v>
      </c>
      <c r="C771" s="36" t="s">
        <v>65</v>
      </c>
      <c r="D771" s="39">
        <v>20.3</v>
      </c>
      <c r="E771" s="36" t="s">
        <v>55</v>
      </c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7" t="s">
        <v>3</v>
      </c>
      <c r="B772" s="38">
        <f>IFERROR(__xludf.DUMMYFUNCTION("""COMPUTED_VALUE"""),30.0)</f>
        <v>30</v>
      </c>
      <c r="C772" s="36" t="s">
        <v>65</v>
      </c>
      <c r="D772" s="39">
        <v>14.2</v>
      </c>
      <c r="E772" s="36" t="s">
        <v>55</v>
      </c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7" t="s">
        <v>4</v>
      </c>
      <c r="B773" s="38">
        <f>IFERROR(__xludf.DUMMYFUNCTION("""COMPUTED_VALUE"""),10.0)</f>
        <v>10</v>
      </c>
      <c r="C773" s="36" t="s">
        <v>65</v>
      </c>
      <c r="D773" s="39">
        <v>38.6</v>
      </c>
      <c r="E773" s="36" t="s">
        <v>55</v>
      </c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7" t="s">
        <v>5</v>
      </c>
      <c r="B774" s="38">
        <f>IFERROR(__xludf.DUMMYFUNCTION("""COMPUTED_VALUE"""),20.0)</f>
        <v>20</v>
      </c>
      <c r="C774" s="36" t="s">
        <v>65</v>
      </c>
      <c r="D774" s="39">
        <v>19.9</v>
      </c>
      <c r="E774" s="36" t="s">
        <v>55</v>
      </c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7" t="s">
        <v>6</v>
      </c>
      <c r="B775" s="38">
        <f>IFERROR(__xludf.DUMMYFUNCTION("""COMPUTED_VALUE"""),30.0)</f>
        <v>30</v>
      </c>
      <c r="C775" s="36" t="s">
        <v>65</v>
      </c>
      <c r="D775" s="39">
        <v>13.9</v>
      </c>
      <c r="E775" s="36" t="s">
        <v>55</v>
      </c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7" t="s">
        <v>7</v>
      </c>
      <c r="B776" s="38">
        <f>IFERROR(__xludf.DUMMYFUNCTION("""COMPUTED_VALUE"""),10.0)</f>
        <v>10</v>
      </c>
      <c r="C776" s="36" t="s">
        <v>65</v>
      </c>
      <c r="D776" s="39">
        <v>41.2</v>
      </c>
      <c r="E776" s="36" t="s">
        <v>55</v>
      </c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7" t="s">
        <v>8</v>
      </c>
      <c r="B777" s="38">
        <f>IFERROR(__xludf.DUMMYFUNCTION("""COMPUTED_VALUE"""),20.0)</f>
        <v>20</v>
      </c>
      <c r="C777" s="36" t="s">
        <v>65</v>
      </c>
      <c r="D777" s="39">
        <v>20.9</v>
      </c>
      <c r="E777" s="36" t="s">
        <v>55</v>
      </c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7" t="s">
        <v>9</v>
      </c>
      <c r="B778" s="38">
        <f>IFERROR(__xludf.DUMMYFUNCTION("""COMPUTED_VALUE"""),30.0)</f>
        <v>30</v>
      </c>
      <c r="C778" s="36" t="s">
        <v>65</v>
      </c>
      <c r="D778" s="39">
        <v>14.2</v>
      </c>
      <c r="E778" s="36" t="s">
        <v>55</v>
      </c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7" t="s">
        <v>10</v>
      </c>
      <c r="B779" s="38">
        <f>IFERROR(__xludf.DUMMYFUNCTION("""COMPUTED_VALUE"""),10.0)</f>
        <v>10</v>
      </c>
      <c r="C779" s="36" t="s">
        <v>65</v>
      </c>
      <c r="D779" s="39">
        <v>41.2</v>
      </c>
      <c r="E779" s="36" t="s">
        <v>55</v>
      </c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7" t="s">
        <v>11</v>
      </c>
      <c r="B780" s="38">
        <f>IFERROR(__xludf.DUMMYFUNCTION("""COMPUTED_VALUE"""),20.0)</f>
        <v>20</v>
      </c>
      <c r="C780" s="36" t="s">
        <v>65</v>
      </c>
      <c r="D780" s="39">
        <v>20.6</v>
      </c>
      <c r="E780" s="36" t="s">
        <v>55</v>
      </c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7" t="s">
        <v>12</v>
      </c>
      <c r="B781" s="38">
        <f>IFERROR(__xludf.DUMMYFUNCTION("""COMPUTED_VALUE"""),30.0)</f>
        <v>30</v>
      </c>
      <c r="C781" s="36" t="s">
        <v>65</v>
      </c>
      <c r="D781" s="39">
        <v>14.7</v>
      </c>
      <c r="E781" s="36" t="s">
        <v>55</v>
      </c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7" t="s">
        <v>13</v>
      </c>
      <c r="B782" s="38">
        <f>IFERROR(__xludf.DUMMYFUNCTION("""COMPUTED_VALUE"""),10.0)</f>
        <v>10</v>
      </c>
      <c r="C782" s="36" t="s">
        <v>65</v>
      </c>
      <c r="D782" s="39">
        <v>41.7</v>
      </c>
      <c r="E782" s="36" t="s">
        <v>55</v>
      </c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7" t="s">
        <v>14</v>
      </c>
      <c r="B783" s="38">
        <f>IFERROR(__xludf.DUMMYFUNCTION("""COMPUTED_VALUE"""),20.0)</f>
        <v>20</v>
      </c>
      <c r="C783" s="36" t="s">
        <v>65</v>
      </c>
      <c r="D783" s="39">
        <v>21.1</v>
      </c>
      <c r="E783" s="36" t="s">
        <v>55</v>
      </c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7" t="s">
        <v>15</v>
      </c>
      <c r="B784" s="38">
        <f>IFERROR(__xludf.DUMMYFUNCTION("""COMPUTED_VALUE"""),30.0)</f>
        <v>30</v>
      </c>
      <c r="C784" s="36" t="s">
        <v>65</v>
      </c>
      <c r="D784" s="39">
        <v>15.0</v>
      </c>
      <c r="E784" s="36" t="s">
        <v>55</v>
      </c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7" t="s">
        <v>16</v>
      </c>
      <c r="B785" s="38">
        <f>IFERROR(__xludf.DUMMYFUNCTION("""COMPUTED_VALUE"""),10.0)</f>
        <v>10</v>
      </c>
      <c r="C785" s="36" t="s">
        <v>65</v>
      </c>
      <c r="D785" s="39">
        <v>42.3</v>
      </c>
      <c r="E785" s="36" t="s">
        <v>55</v>
      </c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7" t="s">
        <v>17</v>
      </c>
      <c r="B786" s="38">
        <f>IFERROR(__xludf.DUMMYFUNCTION("""COMPUTED_VALUE"""),20.0)</f>
        <v>20</v>
      </c>
      <c r="C786" s="36" t="s">
        <v>65</v>
      </c>
      <c r="D786" s="39">
        <v>21.5</v>
      </c>
      <c r="E786" s="36" t="s">
        <v>55</v>
      </c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7" t="s">
        <v>18</v>
      </c>
      <c r="B787" s="38">
        <f>IFERROR(__xludf.DUMMYFUNCTION("""COMPUTED_VALUE"""),30.0)</f>
        <v>30</v>
      </c>
      <c r="C787" s="36" t="s">
        <v>65</v>
      </c>
      <c r="D787" s="39">
        <v>15.0</v>
      </c>
      <c r="E787" s="36" t="s">
        <v>55</v>
      </c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7" t="s">
        <v>19</v>
      </c>
      <c r="B788" s="38">
        <f>IFERROR(__xludf.DUMMYFUNCTION("""COMPUTED_VALUE"""),10.0)</f>
        <v>10</v>
      </c>
      <c r="C788" s="36" t="s">
        <v>65</v>
      </c>
      <c r="D788" s="39">
        <v>40.6</v>
      </c>
      <c r="E788" s="36" t="s">
        <v>55</v>
      </c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7" t="s">
        <v>20</v>
      </c>
      <c r="B789" s="38">
        <f>IFERROR(__xludf.DUMMYFUNCTION("""COMPUTED_VALUE"""),20.0)</f>
        <v>20</v>
      </c>
      <c r="C789" s="36" t="s">
        <v>65</v>
      </c>
      <c r="D789" s="39">
        <v>22.0</v>
      </c>
      <c r="E789" s="36" t="s">
        <v>55</v>
      </c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7" t="s">
        <v>21</v>
      </c>
      <c r="B790" s="38">
        <f>IFERROR(__xludf.DUMMYFUNCTION("""COMPUTED_VALUE"""),30.0)</f>
        <v>30</v>
      </c>
      <c r="C790" s="36" t="s">
        <v>65</v>
      </c>
      <c r="D790" s="39">
        <v>14.3</v>
      </c>
      <c r="E790" s="36" t="s">
        <v>55</v>
      </c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7" t="s">
        <v>22</v>
      </c>
      <c r="B791" s="38">
        <f>IFERROR(__xludf.DUMMYFUNCTION("""COMPUTED_VALUE"""),10.0)</f>
        <v>10</v>
      </c>
      <c r="C791" s="36" t="s">
        <v>65</v>
      </c>
      <c r="D791" s="39">
        <v>38.2</v>
      </c>
      <c r="E791" s="36" t="s">
        <v>55</v>
      </c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7" t="s">
        <v>23</v>
      </c>
      <c r="B792" s="38">
        <f>IFERROR(__xludf.DUMMYFUNCTION("""COMPUTED_VALUE"""),20.0)</f>
        <v>20</v>
      </c>
      <c r="C792" s="36" t="s">
        <v>65</v>
      </c>
      <c r="D792" s="39">
        <v>19.6</v>
      </c>
      <c r="E792" s="36" t="s">
        <v>55</v>
      </c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7" t="s">
        <v>24</v>
      </c>
      <c r="B793" s="38">
        <f>IFERROR(__xludf.DUMMYFUNCTION("""COMPUTED_VALUE"""),30.0)</f>
        <v>30</v>
      </c>
      <c r="C793" s="36" t="s">
        <v>65</v>
      </c>
      <c r="D793" s="39">
        <v>13.3</v>
      </c>
      <c r="E793" s="36" t="s">
        <v>55</v>
      </c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7" t="s">
        <v>1</v>
      </c>
      <c r="B794" s="38">
        <f>IFERROR(__xludf.DUMMYFUNCTION("""COMPUTED_VALUE"""),10.0)</f>
        <v>10</v>
      </c>
      <c r="C794" s="36" t="s">
        <v>66</v>
      </c>
      <c r="D794" s="39">
        <v>9.4</v>
      </c>
      <c r="E794" s="36" t="s">
        <v>55</v>
      </c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7" t="s">
        <v>2</v>
      </c>
      <c r="B795" s="38">
        <f>IFERROR(__xludf.DUMMYFUNCTION("""COMPUTED_VALUE"""),20.0)</f>
        <v>20</v>
      </c>
      <c r="C795" s="36" t="s">
        <v>66</v>
      </c>
      <c r="D795" s="39">
        <v>54.3</v>
      </c>
      <c r="E795" s="36" t="s">
        <v>55</v>
      </c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7" t="s">
        <v>3</v>
      </c>
      <c r="B796" s="38">
        <f>IFERROR(__xludf.DUMMYFUNCTION("""COMPUTED_VALUE"""),30.0)</f>
        <v>30</v>
      </c>
      <c r="C796" s="36" t="s">
        <v>66</v>
      </c>
      <c r="D796" s="39">
        <v>184.8</v>
      </c>
      <c r="E796" s="36" t="s">
        <v>55</v>
      </c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7" t="s">
        <v>4</v>
      </c>
      <c r="B797" s="38">
        <f>IFERROR(__xludf.DUMMYFUNCTION("""COMPUTED_VALUE"""),10.0)</f>
        <v>10</v>
      </c>
      <c r="C797" s="36" t="s">
        <v>66</v>
      </c>
      <c r="D797" s="39">
        <v>9.2</v>
      </c>
      <c r="E797" s="36" t="s">
        <v>55</v>
      </c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7" t="s">
        <v>5</v>
      </c>
      <c r="B798" s="38">
        <f>IFERROR(__xludf.DUMMYFUNCTION("""COMPUTED_VALUE"""),20.0)</f>
        <v>20</v>
      </c>
      <c r="C798" s="36" t="s">
        <v>66</v>
      </c>
      <c r="D798" s="39">
        <v>57.8</v>
      </c>
      <c r="E798" s="36" t="s">
        <v>55</v>
      </c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7" t="s">
        <v>6</v>
      </c>
      <c r="B799" s="38">
        <f>IFERROR(__xludf.DUMMYFUNCTION("""COMPUTED_VALUE"""),30.0)</f>
        <v>30</v>
      </c>
      <c r="C799" s="36" t="s">
        <v>66</v>
      </c>
      <c r="D799" s="39">
        <v>174.3</v>
      </c>
      <c r="E799" s="36" t="s">
        <v>55</v>
      </c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7" t="s">
        <v>7</v>
      </c>
      <c r="B800" s="38">
        <f>IFERROR(__xludf.DUMMYFUNCTION("""COMPUTED_VALUE"""),10.0)</f>
        <v>10</v>
      </c>
      <c r="C800" s="36" t="s">
        <v>66</v>
      </c>
      <c r="D800" s="39">
        <v>7.5</v>
      </c>
      <c r="E800" s="36" t="s">
        <v>55</v>
      </c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7" t="s">
        <v>8</v>
      </c>
      <c r="B801" s="38">
        <f>IFERROR(__xludf.DUMMYFUNCTION("""COMPUTED_VALUE"""),20.0)</f>
        <v>20</v>
      </c>
      <c r="C801" s="36" t="s">
        <v>66</v>
      </c>
      <c r="D801" s="39">
        <v>52.7</v>
      </c>
      <c r="E801" s="36" t="s">
        <v>55</v>
      </c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7" t="s">
        <v>9</v>
      </c>
      <c r="B802" s="38">
        <f>IFERROR(__xludf.DUMMYFUNCTION("""COMPUTED_VALUE"""),30.0)</f>
        <v>30</v>
      </c>
      <c r="C802" s="36" t="s">
        <v>66</v>
      </c>
      <c r="D802" s="39">
        <v>175.9</v>
      </c>
      <c r="E802" s="36" t="s">
        <v>55</v>
      </c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7" t="s">
        <v>10</v>
      </c>
      <c r="B803" s="38">
        <f>IFERROR(__xludf.DUMMYFUNCTION("""COMPUTED_VALUE"""),10.0)</f>
        <v>10</v>
      </c>
      <c r="C803" s="36" t="s">
        <v>66</v>
      </c>
      <c r="D803" s="39">
        <v>8.4</v>
      </c>
      <c r="E803" s="36" t="s">
        <v>55</v>
      </c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7" t="s">
        <v>11</v>
      </c>
      <c r="B804" s="38">
        <f>IFERROR(__xludf.DUMMYFUNCTION("""COMPUTED_VALUE"""),20.0)</f>
        <v>20</v>
      </c>
      <c r="C804" s="36" t="s">
        <v>66</v>
      </c>
      <c r="D804" s="39">
        <v>57.0</v>
      </c>
      <c r="E804" s="36" t="s">
        <v>55</v>
      </c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7" t="s">
        <v>12</v>
      </c>
      <c r="B805" s="38">
        <f>IFERROR(__xludf.DUMMYFUNCTION("""COMPUTED_VALUE"""),30.0)</f>
        <v>30</v>
      </c>
      <c r="C805" s="36" t="s">
        <v>66</v>
      </c>
      <c r="D805" s="39">
        <v>143.8</v>
      </c>
      <c r="E805" s="36" t="s">
        <v>55</v>
      </c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7" t="s">
        <v>13</v>
      </c>
      <c r="B806" s="38">
        <f>IFERROR(__xludf.DUMMYFUNCTION("""COMPUTED_VALUE"""),10.0)</f>
        <v>10</v>
      </c>
      <c r="C806" s="36" t="s">
        <v>66</v>
      </c>
      <c r="D806" s="39">
        <v>7.2</v>
      </c>
      <c r="E806" s="36" t="s">
        <v>55</v>
      </c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7" t="s">
        <v>14</v>
      </c>
      <c r="B807" s="38">
        <f>IFERROR(__xludf.DUMMYFUNCTION("""COMPUTED_VALUE"""),20.0)</f>
        <v>20</v>
      </c>
      <c r="C807" s="36" t="s">
        <v>66</v>
      </c>
      <c r="D807" s="39">
        <v>52.3</v>
      </c>
      <c r="E807" s="36" t="s">
        <v>55</v>
      </c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7" t="s">
        <v>15</v>
      </c>
      <c r="B808" s="38">
        <f>IFERROR(__xludf.DUMMYFUNCTION("""COMPUTED_VALUE"""),30.0)</f>
        <v>30</v>
      </c>
      <c r="C808" s="36" t="s">
        <v>66</v>
      </c>
      <c r="D808" s="39">
        <v>149.1</v>
      </c>
      <c r="E808" s="36" t="s">
        <v>55</v>
      </c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7" t="s">
        <v>16</v>
      </c>
      <c r="B809" s="38">
        <f>IFERROR(__xludf.DUMMYFUNCTION("""COMPUTED_VALUE"""),10.0)</f>
        <v>10</v>
      </c>
      <c r="C809" s="36" t="s">
        <v>66</v>
      </c>
      <c r="D809" s="39">
        <v>7.0</v>
      </c>
      <c r="E809" s="36" t="s">
        <v>55</v>
      </c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7" t="s">
        <v>17</v>
      </c>
      <c r="B810" s="38">
        <f>IFERROR(__xludf.DUMMYFUNCTION("""COMPUTED_VALUE"""),20.0)</f>
        <v>20</v>
      </c>
      <c r="C810" s="36" t="s">
        <v>66</v>
      </c>
      <c r="D810" s="39">
        <v>53.5</v>
      </c>
      <c r="E810" s="36" t="s">
        <v>55</v>
      </c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7" t="s">
        <v>18</v>
      </c>
      <c r="B811" s="38">
        <f>IFERROR(__xludf.DUMMYFUNCTION("""COMPUTED_VALUE"""),30.0)</f>
        <v>30</v>
      </c>
      <c r="C811" s="36" t="s">
        <v>66</v>
      </c>
      <c r="D811" s="39">
        <v>139.7</v>
      </c>
      <c r="E811" s="36" t="s">
        <v>55</v>
      </c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7" t="s">
        <v>19</v>
      </c>
      <c r="B812" s="38">
        <f>IFERROR(__xludf.DUMMYFUNCTION("""COMPUTED_VALUE"""),10.0)</f>
        <v>10</v>
      </c>
      <c r="C812" s="36" t="s">
        <v>66</v>
      </c>
      <c r="D812" s="39">
        <v>8.5</v>
      </c>
      <c r="E812" s="36" t="s">
        <v>55</v>
      </c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7" t="s">
        <v>20</v>
      </c>
      <c r="B813" s="38">
        <f>IFERROR(__xludf.DUMMYFUNCTION("""COMPUTED_VALUE"""),20.0)</f>
        <v>20</v>
      </c>
      <c r="C813" s="36" t="s">
        <v>66</v>
      </c>
      <c r="D813" s="39">
        <v>50.5</v>
      </c>
      <c r="E813" s="36" t="s">
        <v>55</v>
      </c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7" t="s">
        <v>21</v>
      </c>
      <c r="B814" s="38">
        <f>IFERROR(__xludf.DUMMYFUNCTION("""COMPUTED_VALUE"""),30.0)</f>
        <v>30</v>
      </c>
      <c r="C814" s="36" t="s">
        <v>66</v>
      </c>
      <c r="D814" s="39">
        <v>171.1</v>
      </c>
      <c r="E814" s="36" t="s">
        <v>55</v>
      </c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7" t="s">
        <v>22</v>
      </c>
      <c r="B815" s="38">
        <f>IFERROR(__xludf.DUMMYFUNCTION("""COMPUTED_VALUE"""),10.0)</f>
        <v>10</v>
      </c>
      <c r="C815" s="36" t="s">
        <v>66</v>
      </c>
      <c r="D815" s="39">
        <v>8.4</v>
      </c>
      <c r="E815" s="36" t="s">
        <v>55</v>
      </c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7" t="s">
        <v>23</v>
      </c>
      <c r="B816" s="38">
        <f>IFERROR(__xludf.DUMMYFUNCTION("""COMPUTED_VALUE"""),20.0)</f>
        <v>20</v>
      </c>
      <c r="C816" s="36" t="s">
        <v>66</v>
      </c>
      <c r="D816" s="39">
        <v>63.4</v>
      </c>
      <c r="E816" s="36" t="s">
        <v>55</v>
      </c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7" t="s">
        <v>24</v>
      </c>
      <c r="B817" s="38">
        <f>IFERROR(__xludf.DUMMYFUNCTION("""COMPUTED_VALUE"""),30.0)</f>
        <v>30</v>
      </c>
      <c r="C817" s="36" t="s">
        <v>66</v>
      </c>
      <c r="D817" s="39">
        <v>193.5</v>
      </c>
      <c r="E817" s="36" t="s">
        <v>55</v>
      </c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7" t="s">
        <v>1</v>
      </c>
      <c r="B818" s="38">
        <f>IFERROR(__xludf.DUMMYFUNCTION("""COMPUTED_VALUE"""),10.0)</f>
        <v>10</v>
      </c>
      <c r="C818" s="36" t="s">
        <v>67</v>
      </c>
      <c r="D818" s="39">
        <v>9.4</v>
      </c>
      <c r="E818" s="36" t="s">
        <v>55</v>
      </c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7" t="s">
        <v>2</v>
      </c>
      <c r="B819" s="38">
        <f>IFERROR(__xludf.DUMMYFUNCTION("""COMPUTED_VALUE"""),20.0)</f>
        <v>20</v>
      </c>
      <c r="C819" s="36" t="s">
        <v>67</v>
      </c>
      <c r="D819" s="39">
        <v>97.2</v>
      </c>
      <c r="E819" s="36" t="s">
        <v>55</v>
      </c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7" t="s">
        <v>3</v>
      </c>
      <c r="B820" s="38">
        <f>IFERROR(__xludf.DUMMYFUNCTION("""COMPUTED_VALUE"""),30.0)</f>
        <v>30</v>
      </c>
      <c r="C820" s="36" t="s">
        <v>67</v>
      </c>
      <c r="D820" s="39">
        <v>498.5</v>
      </c>
      <c r="E820" s="36" t="s">
        <v>55</v>
      </c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7" t="s">
        <v>4</v>
      </c>
      <c r="B821" s="38">
        <f>IFERROR(__xludf.DUMMYFUNCTION("""COMPUTED_VALUE"""),10.0)</f>
        <v>10</v>
      </c>
      <c r="C821" s="36" t="s">
        <v>67</v>
      </c>
      <c r="D821" s="39">
        <v>7.8</v>
      </c>
      <c r="E821" s="36" t="s">
        <v>55</v>
      </c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7" t="s">
        <v>5</v>
      </c>
      <c r="B822" s="38">
        <f>IFERROR(__xludf.DUMMYFUNCTION("""COMPUTED_VALUE"""),20.0)</f>
        <v>20</v>
      </c>
      <c r="C822" s="36" t="s">
        <v>67</v>
      </c>
      <c r="D822" s="39">
        <v>96.1</v>
      </c>
      <c r="E822" s="36" t="s">
        <v>55</v>
      </c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7" t="s">
        <v>6</v>
      </c>
      <c r="B823" s="38">
        <f>IFERROR(__xludf.DUMMYFUNCTION("""COMPUTED_VALUE"""),30.0)</f>
        <v>30</v>
      </c>
      <c r="C823" s="36" t="s">
        <v>67</v>
      </c>
      <c r="D823" s="39">
        <v>421.7</v>
      </c>
      <c r="E823" s="36" t="s">
        <v>55</v>
      </c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7" t="s">
        <v>7</v>
      </c>
      <c r="B824" s="38">
        <f>IFERROR(__xludf.DUMMYFUNCTION("""COMPUTED_VALUE"""),10.0)</f>
        <v>10</v>
      </c>
      <c r="C824" s="36" t="s">
        <v>67</v>
      </c>
      <c r="D824" s="39">
        <v>4.6</v>
      </c>
      <c r="E824" s="36" t="s">
        <v>55</v>
      </c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7" t="s">
        <v>8</v>
      </c>
      <c r="B825" s="38">
        <f>IFERROR(__xludf.DUMMYFUNCTION("""COMPUTED_VALUE"""),20.0)</f>
        <v>20</v>
      </c>
      <c r="C825" s="36" t="s">
        <v>67</v>
      </c>
      <c r="D825" s="39">
        <v>68.0</v>
      </c>
      <c r="E825" s="36" t="s">
        <v>55</v>
      </c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7" t="s">
        <v>9</v>
      </c>
      <c r="B826" s="38">
        <f>IFERROR(__xludf.DUMMYFUNCTION("""COMPUTED_VALUE"""),30.0)</f>
        <v>30</v>
      </c>
      <c r="C826" s="36" t="s">
        <v>67</v>
      </c>
      <c r="D826" s="39">
        <v>346.1</v>
      </c>
      <c r="E826" s="36" t="s">
        <v>55</v>
      </c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7" t="s">
        <v>10</v>
      </c>
      <c r="B827" s="38">
        <f>IFERROR(__xludf.DUMMYFUNCTION("""COMPUTED_VALUE"""),10.0)</f>
        <v>10</v>
      </c>
      <c r="C827" s="36" t="s">
        <v>67</v>
      </c>
      <c r="D827" s="39">
        <v>5.4</v>
      </c>
      <c r="E827" s="36" t="s">
        <v>55</v>
      </c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7" t="s">
        <v>11</v>
      </c>
      <c r="B828" s="38">
        <f>IFERROR(__xludf.DUMMYFUNCTION("""COMPUTED_VALUE"""),20.0)</f>
        <v>20</v>
      </c>
      <c r="C828" s="36" t="s">
        <v>67</v>
      </c>
      <c r="D828" s="39">
        <v>94.6</v>
      </c>
      <c r="E828" s="36" t="s">
        <v>55</v>
      </c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7" t="s">
        <v>12</v>
      </c>
      <c r="B829" s="38">
        <f>IFERROR(__xludf.DUMMYFUNCTION("""COMPUTED_VALUE"""),30.0)</f>
        <v>30</v>
      </c>
      <c r="C829" s="36" t="s">
        <v>67</v>
      </c>
      <c r="D829" s="39">
        <v>280.8</v>
      </c>
      <c r="E829" s="36" t="s">
        <v>55</v>
      </c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7" t="s">
        <v>13</v>
      </c>
      <c r="B830" s="38">
        <f>IFERROR(__xludf.DUMMYFUNCTION("""COMPUTED_VALUE"""),10.0)</f>
        <v>10</v>
      </c>
      <c r="C830" s="36" t="s">
        <v>67</v>
      </c>
      <c r="D830" s="39">
        <v>4.4</v>
      </c>
      <c r="E830" s="36" t="s">
        <v>55</v>
      </c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7" t="s">
        <v>14</v>
      </c>
      <c r="B831" s="38">
        <f>IFERROR(__xludf.DUMMYFUNCTION("""COMPUTED_VALUE"""),20.0)</f>
        <v>20</v>
      </c>
      <c r="C831" s="36" t="s">
        <v>67</v>
      </c>
      <c r="D831" s="39">
        <v>70.4</v>
      </c>
      <c r="E831" s="36" t="s">
        <v>55</v>
      </c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7" t="s">
        <v>15</v>
      </c>
      <c r="B832" s="38">
        <f>IFERROR(__xludf.DUMMYFUNCTION("""COMPUTED_VALUE"""),30.0)</f>
        <v>30</v>
      </c>
      <c r="C832" s="36" t="s">
        <v>67</v>
      </c>
      <c r="D832" s="39">
        <v>281.7</v>
      </c>
      <c r="E832" s="36" t="s">
        <v>55</v>
      </c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7" t="s">
        <v>16</v>
      </c>
      <c r="B833" s="38">
        <f>IFERROR(__xludf.DUMMYFUNCTION("""COMPUTED_VALUE"""),10.0)</f>
        <v>10</v>
      </c>
      <c r="C833" s="36" t="s">
        <v>67</v>
      </c>
      <c r="D833" s="39">
        <v>4.5</v>
      </c>
      <c r="E833" s="36" t="s">
        <v>55</v>
      </c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7" t="s">
        <v>17</v>
      </c>
      <c r="B834" s="38">
        <f>IFERROR(__xludf.DUMMYFUNCTION("""COMPUTED_VALUE"""),20.0)</f>
        <v>20</v>
      </c>
      <c r="C834" s="36" t="s">
        <v>67</v>
      </c>
      <c r="D834" s="39">
        <v>69.0</v>
      </c>
      <c r="E834" s="36" t="s">
        <v>55</v>
      </c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7" t="s">
        <v>18</v>
      </c>
      <c r="B835" s="38">
        <f>IFERROR(__xludf.DUMMYFUNCTION("""COMPUTED_VALUE"""),30.0)</f>
        <v>30</v>
      </c>
      <c r="C835" s="36" t="s">
        <v>67</v>
      </c>
      <c r="D835" s="39">
        <v>312.6</v>
      </c>
      <c r="E835" s="36" t="s">
        <v>55</v>
      </c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7" t="s">
        <v>19</v>
      </c>
      <c r="B836" s="38">
        <f>IFERROR(__xludf.DUMMYFUNCTION("""COMPUTED_VALUE"""),10.0)</f>
        <v>10</v>
      </c>
      <c r="C836" s="36" t="s">
        <v>67</v>
      </c>
      <c r="D836" s="39">
        <v>5.3</v>
      </c>
      <c r="E836" s="36" t="s">
        <v>55</v>
      </c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7" t="s">
        <v>20</v>
      </c>
      <c r="B837" s="38">
        <f>IFERROR(__xludf.DUMMYFUNCTION("""COMPUTED_VALUE"""),20.0)</f>
        <v>20</v>
      </c>
      <c r="C837" s="36" t="s">
        <v>67</v>
      </c>
      <c r="D837" s="39">
        <v>62.5</v>
      </c>
      <c r="E837" s="36" t="s">
        <v>55</v>
      </c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7" t="s">
        <v>21</v>
      </c>
      <c r="B838" s="38">
        <f>IFERROR(__xludf.DUMMYFUNCTION("""COMPUTED_VALUE"""),30.0)</f>
        <v>30</v>
      </c>
      <c r="C838" s="36" t="s">
        <v>67</v>
      </c>
      <c r="D838" s="39">
        <v>281.7</v>
      </c>
      <c r="E838" s="36" t="s">
        <v>55</v>
      </c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7" t="s">
        <v>22</v>
      </c>
      <c r="B839" s="38">
        <f>IFERROR(__xludf.DUMMYFUNCTION("""COMPUTED_VALUE"""),10.0)</f>
        <v>10</v>
      </c>
      <c r="C839" s="36" t="s">
        <v>67</v>
      </c>
      <c r="D839" s="39">
        <v>6.6</v>
      </c>
      <c r="E839" s="36" t="s">
        <v>55</v>
      </c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7" t="s">
        <v>23</v>
      </c>
      <c r="B840" s="38">
        <f>IFERROR(__xludf.DUMMYFUNCTION("""COMPUTED_VALUE"""),20.0)</f>
        <v>20</v>
      </c>
      <c r="C840" s="36" t="s">
        <v>67</v>
      </c>
      <c r="D840" s="39">
        <v>87.3</v>
      </c>
      <c r="E840" s="36" t="s">
        <v>55</v>
      </c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7" t="s">
        <v>24</v>
      </c>
      <c r="B841" s="38">
        <f>IFERROR(__xludf.DUMMYFUNCTION("""COMPUTED_VALUE"""),30.0)</f>
        <v>30</v>
      </c>
      <c r="C841" s="36" t="s">
        <v>67</v>
      </c>
      <c r="D841" s="39">
        <v>562.1</v>
      </c>
      <c r="E841" s="36" t="s">
        <v>55</v>
      </c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7" t="s">
        <v>1</v>
      </c>
      <c r="B842" s="38">
        <f>IFERROR(__xludf.DUMMYFUNCTION("""COMPUTED_VALUE"""),10.0)</f>
        <v>10</v>
      </c>
      <c r="C842" s="36" t="s">
        <v>68</v>
      </c>
      <c r="D842" s="39">
        <v>27.9</v>
      </c>
      <c r="E842" s="36" t="s">
        <v>55</v>
      </c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7" t="s">
        <v>2</v>
      </c>
      <c r="B843" s="38">
        <f>IFERROR(__xludf.DUMMYFUNCTION("""COMPUTED_VALUE"""),20.0)</f>
        <v>20</v>
      </c>
      <c r="C843" s="36" t="s">
        <v>68</v>
      </c>
      <c r="D843" s="39">
        <v>60.5</v>
      </c>
      <c r="E843" s="36" t="s">
        <v>55</v>
      </c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7" t="s">
        <v>3</v>
      </c>
      <c r="B844" s="38">
        <f>IFERROR(__xludf.DUMMYFUNCTION("""COMPUTED_VALUE"""),30.0)</f>
        <v>30</v>
      </c>
      <c r="C844" s="36" t="s">
        <v>68</v>
      </c>
      <c r="D844" s="39">
        <v>150.9</v>
      </c>
      <c r="E844" s="36" t="s">
        <v>55</v>
      </c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7" t="s">
        <v>4</v>
      </c>
      <c r="B845" s="38">
        <f>IFERROR(__xludf.DUMMYFUNCTION("""COMPUTED_VALUE"""),10.0)</f>
        <v>10</v>
      </c>
      <c r="C845" s="36" t="s">
        <v>68</v>
      </c>
      <c r="D845" s="39">
        <v>24.0</v>
      </c>
      <c r="E845" s="36" t="s">
        <v>55</v>
      </c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7" t="s">
        <v>5</v>
      </c>
      <c r="B846" s="38">
        <f>IFERROR(__xludf.DUMMYFUNCTION("""COMPUTED_VALUE"""),20.0)</f>
        <v>20</v>
      </c>
      <c r="C846" s="36" t="s">
        <v>68</v>
      </c>
      <c r="D846" s="39">
        <v>62.9</v>
      </c>
      <c r="E846" s="36" t="s">
        <v>55</v>
      </c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7" t="s">
        <v>6</v>
      </c>
      <c r="B847" s="38">
        <f>IFERROR(__xludf.DUMMYFUNCTION("""COMPUTED_VALUE"""),30.0)</f>
        <v>30</v>
      </c>
      <c r="C847" s="36" t="s">
        <v>68</v>
      </c>
      <c r="D847" s="39">
        <v>137.8</v>
      </c>
      <c r="E847" s="36" t="s">
        <v>55</v>
      </c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7" t="s">
        <v>7</v>
      </c>
      <c r="B848" s="38">
        <f>IFERROR(__xludf.DUMMYFUNCTION("""COMPUTED_VALUE"""),10.0)</f>
        <v>10</v>
      </c>
      <c r="C848" s="36" t="s">
        <v>68</v>
      </c>
      <c r="D848" s="39">
        <v>17.0</v>
      </c>
      <c r="E848" s="36" t="s">
        <v>55</v>
      </c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7" t="s">
        <v>8</v>
      </c>
      <c r="B849" s="38">
        <f>IFERROR(__xludf.DUMMYFUNCTION("""COMPUTED_VALUE"""),20.0)</f>
        <v>20</v>
      </c>
      <c r="C849" s="36" t="s">
        <v>68</v>
      </c>
      <c r="D849" s="39">
        <v>69.0</v>
      </c>
      <c r="E849" s="36" t="s">
        <v>55</v>
      </c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7" t="s">
        <v>9</v>
      </c>
      <c r="B850" s="38">
        <f>IFERROR(__xludf.DUMMYFUNCTION("""COMPUTED_VALUE"""),30.0)</f>
        <v>30</v>
      </c>
      <c r="C850" s="36" t="s">
        <v>68</v>
      </c>
      <c r="D850" s="39">
        <v>161.6</v>
      </c>
      <c r="E850" s="36" t="s">
        <v>55</v>
      </c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7" t="s">
        <v>10</v>
      </c>
      <c r="B851" s="38">
        <f>IFERROR(__xludf.DUMMYFUNCTION("""COMPUTED_VALUE"""),10.0)</f>
        <v>10</v>
      </c>
      <c r="C851" s="36" t="s">
        <v>68</v>
      </c>
      <c r="D851" s="39">
        <v>22.2</v>
      </c>
      <c r="E851" s="36" t="s">
        <v>55</v>
      </c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7" t="s">
        <v>11</v>
      </c>
      <c r="B852" s="38">
        <f>IFERROR(__xludf.DUMMYFUNCTION("""COMPUTED_VALUE"""),20.0)</f>
        <v>20</v>
      </c>
      <c r="C852" s="36" t="s">
        <v>68</v>
      </c>
      <c r="D852" s="39">
        <v>77.1</v>
      </c>
      <c r="E852" s="36" t="s">
        <v>55</v>
      </c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7" t="s">
        <v>12</v>
      </c>
      <c r="B853" s="38">
        <f>IFERROR(__xludf.DUMMYFUNCTION("""COMPUTED_VALUE"""),30.0)</f>
        <v>30</v>
      </c>
      <c r="C853" s="36" t="s">
        <v>68</v>
      </c>
      <c r="D853" s="39">
        <v>136.2</v>
      </c>
      <c r="E853" s="36" t="s">
        <v>55</v>
      </c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7" t="s">
        <v>13</v>
      </c>
      <c r="B854" s="38">
        <f>IFERROR(__xludf.DUMMYFUNCTION("""COMPUTED_VALUE"""),10.0)</f>
        <v>10</v>
      </c>
      <c r="C854" s="36" t="s">
        <v>68</v>
      </c>
      <c r="D854" s="39">
        <v>17.8</v>
      </c>
      <c r="E854" s="36" t="s">
        <v>55</v>
      </c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7" t="s">
        <v>14</v>
      </c>
      <c r="B855" s="38">
        <f>IFERROR(__xludf.DUMMYFUNCTION("""COMPUTED_VALUE"""),20.0)</f>
        <v>20</v>
      </c>
      <c r="C855" s="36" t="s">
        <v>68</v>
      </c>
      <c r="D855" s="39">
        <v>72.9</v>
      </c>
      <c r="E855" s="36" t="s">
        <v>55</v>
      </c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7" t="s">
        <v>15</v>
      </c>
      <c r="B856" s="38">
        <f>IFERROR(__xludf.DUMMYFUNCTION("""COMPUTED_VALUE"""),30.0)</f>
        <v>30</v>
      </c>
      <c r="C856" s="36" t="s">
        <v>68</v>
      </c>
      <c r="D856" s="39">
        <v>121.5</v>
      </c>
      <c r="E856" s="36" t="s">
        <v>55</v>
      </c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7" t="s">
        <v>16</v>
      </c>
      <c r="B857" s="38">
        <f>IFERROR(__xludf.DUMMYFUNCTION("""COMPUTED_VALUE"""),10.0)</f>
        <v>10</v>
      </c>
      <c r="C857" s="36" t="s">
        <v>68</v>
      </c>
      <c r="D857" s="39">
        <v>17.1</v>
      </c>
      <c r="E857" s="36" t="s">
        <v>55</v>
      </c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7" t="s">
        <v>17</v>
      </c>
      <c r="B858" s="38">
        <f>IFERROR(__xludf.DUMMYFUNCTION("""COMPUTED_VALUE"""),20.0)</f>
        <v>20</v>
      </c>
      <c r="C858" s="36" t="s">
        <v>68</v>
      </c>
      <c r="D858" s="39">
        <v>72.6</v>
      </c>
      <c r="E858" s="36" t="s">
        <v>55</v>
      </c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7" t="s">
        <v>18</v>
      </c>
      <c r="B859" s="38">
        <f>IFERROR(__xludf.DUMMYFUNCTION("""COMPUTED_VALUE"""),30.0)</f>
        <v>30</v>
      </c>
      <c r="C859" s="36" t="s">
        <v>68</v>
      </c>
      <c r="D859" s="39">
        <v>106.2</v>
      </c>
      <c r="E859" s="36" t="s">
        <v>55</v>
      </c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7" t="s">
        <v>19</v>
      </c>
      <c r="B860" s="38">
        <f>IFERROR(__xludf.DUMMYFUNCTION("""COMPUTED_VALUE"""),10.0)</f>
        <v>10</v>
      </c>
      <c r="C860" s="36" t="s">
        <v>68</v>
      </c>
      <c r="D860" s="39">
        <v>21.2</v>
      </c>
      <c r="E860" s="36" t="s">
        <v>55</v>
      </c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7" t="s">
        <v>20</v>
      </c>
      <c r="B861" s="38">
        <f>IFERROR(__xludf.DUMMYFUNCTION("""COMPUTED_VALUE"""),20.0)</f>
        <v>20</v>
      </c>
      <c r="C861" s="36" t="s">
        <v>68</v>
      </c>
      <c r="D861" s="39">
        <v>74.6</v>
      </c>
      <c r="E861" s="36" t="s">
        <v>55</v>
      </c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7" t="s">
        <v>21</v>
      </c>
      <c r="B862" s="38">
        <f>IFERROR(__xludf.DUMMYFUNCTION("""COMPUTED_VALUE"""),30.0)</f>
        <v>30</v>
      </c>
      <c r="C862" s="36" t="s">
        <v>68</v>
      </c>
      <c r="D862" s="39">
        <v>135.9</v>
      </c>
      <c r="E862" s="36" t="s">
        <v>55</v>
      </c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7" t="s">
        <v>22</v>
      </c>
      <c r="B863" s="38">
        <f>IFERROR(__xludf.DUMMYFUNCTION("""COMPUTED_VALUE"""),10.0)</f>
        <v>10</v>
      </c>
      <c r="C863" s="36" t="s">
        <v>68</v>
      </c>
      <c r="D863" s="39">
        <v>19.8</v>
      </c>
      <c r="E863" s="36" t="s">
        <v>55</v>
      </c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7" t="s">
        <v>23</v>
      </c>
      <c r="B864" s="38">
        <f>IFERROR(__xludf.DUMMYFUNCTION("""COMPUTED_VALUE"""),20.0)</f>
        <v>20</v>
      </c>
      <c r="C864" s="36" t="s">
        <v>68</v>
      </c>
      <c r="D864" s="39">
        <v>59.2</v>
      </c>
      <c r="E864" s="36" t="s">
        <v>55</v>
      </c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7" t="s">
        <v>24</v>
      </c>
      <c r="B865" s="38">
        <f>IFERROR(__xludf.DUMMYFUNCTION("""COMPUTED_VALUE"""),30.0)</f>
        <v>30</v>
      </c>
      <c r="C865" s="36" t="s">
        <v>68</v>
      </c>
      <c r="D865" s="39">
        <v>172.9</v>
      </c>
      <c r="E865" s="36" t="s">
        <v>55</v>
      </c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7" t="s">
        <v>1</v>
      </c>
      <c r="B866" s="38">
        <f>IFERROR(__xludf.DUMMYFUNCTION("""COMPUTED_VALUE"""),10.0)</f>
        <v>10</v>
      </c>
      <c r="C866" s="36" t="s">
        <v>69</v>
      </c>
      <c r="D866" s="39">
        <v>7.0</v>
      </c>
      <c r="E866" s="36" t="s">
        <v>55</v>
      </c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7" t="s">
        <v>2</v>
      </c>
      <c r="B867" s="38">
        <f>IFERROR(__xludf.DUMMYFUNCTION("""COMPUTED_VALUE"""),20.0)</f>
        <v>20</v>
      </c>
      <c r="C867" s="36" t="s">
        <v>69</v>
      </c>
      <c r="D867" s="39">
        <v>6.1</v>
      </c>
      <c r="E867" s="36" t="s">
        <v>55</v>
      </c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7" t="s">
        <v>3</v>
      </c>
      <c r="B868" s="38">
        <f>IFERROR(__xludf.DUMMYFUNCTION("""COMPUTED_VALUE"""),30.0)</f>
        <v>30</v>
      </c>
      <c r="C868" s="36" t="s">
        <v>69</v>
      </c>
      <c r="D868" s="39">
        <v>4.5</v>
      </c>
      <c r="E868" s="36" t="s">
        <v>55</v>
      </c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7" t="s">
        <v>4</v>
      </c>
      <c r="B869" s="38">
        <f>IFERROR(__xludf.DUMMYFUNCTION("""COMPUTED_VALUE"""),10.0)</f>
        <v>10</v>
      </c>
      <c r="C869" s="36" t="s">
        <v>69</v>
      </c>
      <c r="D869" s="39">
        <v>7.1</v>
      </c>
      <c r="E869" s="36" t="s">
        <v>55</v>
      </c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7" t="s">
        <v>5</v>
      </c>
      <c r="B870" s="38">
        <f>IFERROR(__xludf.DUMMYFUNCTION("""COMPUTED_VALUE"""),20.0)</f>
        <v>20</v>
      </c>
      <c r="C870" s="36" t="s">
        <v>69</v>
      </c>
      <c r="D870" s="39">
        <v>5.8</v>
      </c>
      <c r="E870" s="36" t="s">
        <v>55</v>
      </c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7" t="s">
        <v>6</v>
      </c>
      <c r="B871" s="38">
        <f>IFERROR(__xludf.DUMMYFUNCTION("""COMPUTED_VALUE"""),30.0)</f>
        <v>30</v>
      </c>
      <c r="C871" s="36" t="s">
        <v>69</v>
      </c>
      <c r="D871" s="39">
        <v>4.8</v>
      </c>
      <c r="E871" s="36" t="s">
        <v>55</v>
      </c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7" t="s">
        <v>7</v>
      </c>
      <c r="B872" s="38">
        <f>IFERROR(__xludf.DUMMYFUNCTION("""COMPUTED_VALUE"""),10.0)</f>
        <v>10</v>
      </c>
      <c r="C872" s="36" t="s">
        <v>69</v>
      </c>
      <c r="D872" s="39">
        <v>8.4</v>
      </c>
      <c r="E872" s="36" t="s">
        <v>55</v>
      </c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7" t="s">
        <v>8</v>
      </c>
      <c r="B873" s="38">
        <f>IFERROR(__xludf.DUMMYFUNCTION("""COMPUTED_VALUE"""),20.0)</f>
        <v>20</v>
      </c>
      <c r="C873" s="36" t="s">
        <v>69</v>
      </c>
      <c r="D873" s="39">
        <v>6.7</v>
      </c>
      <c r="E873" s="36" t="s">
        <v>55</v>
      </c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7" t="s">
        <v>9</v>
      </c>
      <c r="B874" s="38">
        <f>IFERROR(__xludf.DUMMYFUNCTION("""COMPUTED_VALUE"""),30.0)</f>
        <v>30</v>
      </c>
      <c r="C874" s="36" t="s">
        <v>69</v>
      </c>
      <c r="D874" s="39">
        <v>5.4</v>
      </c>
      <c r="E874" s="36" t="s">
        <v>55</v>
      </c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7" t="s">
        <v>10</v>
      </c>
      <c r="B875" s="38">
        <f>IFERROR(__xludf.DUMMYFUNCTION("""COMPUTED_VALUE"""),10.0)</f>
        <v>10</v>
      </c>
      <c r="C875" s="36" t="s">
        <v>69</v>
      </c>
      <c r="D875" s="39">
        <v>7.9</v>
      </c>
      <c r="E875" s="36" t="s">
        <v>55</v>
      </c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7" t="s">
        <v>11</v>
      </c>
      <c r="B876" s="38">
        <f>IFERROR(__xludf.DUMMYFUNCTION("""COMPUTED_VALUE"""),20.0)</f>
        <v>20</v>
      </c>
      <c r="C876" s="36" t="s">
        <v>69</v>
      </c>
      <c r="D876" s="39">
        <v>6.0</v>
      </c>
      <c r="E876" s="36" t="s">
        <v>55</v>
      </c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7" t="s">
        <v>12</v>
      </c>
      <c r="B877" s="38">
        <f>IFERROR(__xludf.DUMMYFUNCTION("""COMPUTED_VALUE"""),30.0)</f>
        <v>30</v>
      </c>
      <c r="C877" s="36" t="s">
        <v>69</v>
      </c>
      <c r="D877" s="39">
        <v>6.2</v>
      </c>
      <c r="E877" s="36" t="s">
        <v>55</v>
      </c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7" t="s">
        <v>13</v>
      </c>
      <c r="B878" s="38">
        <f>IFERROR(__xludf.DUMMYFUNCTION("""COMPUTED_VALUE"""),10.0)</f>
        <v>10</v>
      </c>
      <c r="C878" s="36" t="s">
        <v>69</v>
      </c>
      <c r="D878" s="39">
        <v>8.7</v>
      </c>
      <c r="E878" s="36" t="s">
        <v>55</v>
      </c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7" t="s">
        <v>14</v>
      </c>
      <c r="B879" s="38">
        <f>IFERROR(__xludf.DUMMYFUNCTION("""COMPUTED_VALUE"""),20.0)</f>
        <v>20</v>
      </c>
      <c r="C879" s="36" t="s">
        <v>69</v>
      </c>
      <c r="D879" s="39">
        <v>6.7</v>
      </c>
      <c r="E879" s="36" t="s">
        <v>55</v>
      </c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7" t="s">
        <v>15</v>
      </c>
      <c r="B880" s="38">
        <f>IFERROR(__xludf.DUMMYFUNCTION("""COMPUTED_VALUE"""),30.0)</f>
        <v>30</v>
      </c>
      <c r="C880" s="36" t="s">
        <v>69</v>
      </c>
      <c r="D880" s="39">
        <v>5.8</v>
      </c>
      <c r="E880" s="36" t="s">
        <v>55</v>
      </c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7" t="s">
        <v>16</v>
      </c>
      <c r="B881" s="38">
        <f>IFERROR(__xludf.DUMMYFUNCTION("""COMPUTED_VALUE"""),10.0)</f>
        <v>10</v>
      </c>
      <c r="C881" s="36" t="s">
        <v>69</v>
      </c>
      <c r="D881" s="39">
        <v>8.7</v>
      </c>
      <c r="E881" s="36" t="s">
        <v>55</v>
      </c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7" t="s">
        <v>17</v>
      </c>
      <c r="B882" s="38">
        <f>IFERROR(__xludf.DUMMYFUNCTION("""COMPUTED_VALUE"""),20.0)</f>
        <v>20</v>
      </c>
      <c r="C882" s="36" t="s">
        <v>69</v>
      </c>
      <c r="D882" s="39">
        <v>6.6</v>
      </c>
      <c r="E882" s="36" t="s">
        <v>55</v>
      </c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7" t="s">
        <v>18</v>
      </c>
      <c r="B883" s="38">
        <f>IFERROR(__xludf.DUMMYFUNCTION("""COMPUTED_VALUE"""),30.0)</f>
        <v>30</v>
      </c>
      <c r="C883" s="36" t="s">
        <v>69</v>
      </c>
      <c r="D883" s="39">
        <v>5.8</v>
      </c>
      <c r="E883" s="36" t="s">
        <v>55</v>
      </c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7" t="s">
        <v>19</v>
      </c>
      <c r="B884" s="38">
        <f>IFERROR(__xludf.DUMMYFUNCTION("""COMPUTED_VALUE"""),10.0)</f>
        <v>10</v>
      </c>
      <c r="C884" s="36" t="s">
        <v>69</v>
      </c>
      <c r="D884" s="39">
        <v>8.0</v>
      </c>
      <c r="E884" s="36" t="s">
        <v>55</v>
      </c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7" t="s">
        <v>20</v>
      </c>
      <c r="B885" s="38">
        <f>IFERROR(__xludf.DUMMYFUNCTION("""COMPUTED_VALUE"""),20.0)</f>
        <v>20</v>
      </c>
      <c r="C885" s="36" t="s">
        <v>69</v>
      </c>
      <c r="D885" s="39">
        <v>6.8</v>
      </c>
      <c r="E885" s="36" t="s">
        <v>55</v>
      </c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7" t="s">
        <v>21</v>
      </c>
      <c r="B886" s="38">
        <f>IFERROR(__xludf.DUMMYFUNCTION("""COMPUTED_VALUE"""),30.0)</f>
        <v>30</v>
      </c>
      <c r="C886" s="36" t="s">
        <v>69</v>
      </c>
      <c r="D886" s="39">
        <v>5.3</v>
      </c>
      <c r="E886" s="36" t="s">
        <v>55</v>
      </c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7" t="s">
        <v>22</v>
      </c>
      <c r="B887" s="38">
        <f>IFERROR(__xludf.DUMMYFUNCTION("""COMPUTED_VALUE"""),10.0)</f>
        <v>10</v>
      </c>
      <c r="C887" s="36" t="s">
        <v>69</v>
      </c>
      <c r="D887" s="39">
        <v>7.4</v>
      </c>
      <c r="E887" s="36" t="s">
        <v>55</v>
      </c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7" t="s">
        <v>23</v>
      </c>
      <c r="B888" s="38">
        <f>IFERROR(__xludf.DUMMYFUNCTION("""COMPUTED_VALUE"""),20.0)</f>
        <v>20</v>
      </c>
      <c r="C888" s="36" t="s">
        <v>69</v>
      </c>
      <c r="D888" s="39">
        <v>5.8</v>
      </c>
      <c r="E888" s="36" t="s">
        <v>55</v>
      </c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7" t="s">
        <v>24</v>
      </c>
      <c r="B889" s="38">
        <f>IFERROR(__xludf.DUMMYFUNCTION("""COMPUTED_VALUE"""),30.0)</f>
        <v>30</v>
      </c>
      <c r="C889" s="36" t="s">
        <v>69</v>
      </c>
      <c r="D889" s="39">
        <v>4.3</v>
      </c>
      <c r="E889" s="36" t="s">
        <v>55</v>
      </c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7" t="s">
        <v>1</v>
      </c>
      <c r="B890" s="38">
        <f>IFERROR(__xludf.DUMMYFUNCTION("""COMPUTED_VALUE"""),10.0)</f>
        <v>10</v>
      </c>
      <c r="C890" s="36" t="s">
        <v>70</v>
      </c>
      <c r="D890" s="39">
        <v>21.4</v>
      </c>
      <c r="E890" s="36" t="s">
        <v>55</v>
      </c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7" t="s">
        <v>2</v>
      </c>
      <c r="B891" s="38">
        <f>IFERROR(__xludf.DUMMYFUNCTION("""COMPUTED_VALUE"""),20.0)</f>
        <v>20</v>
      </c>
      <c r="C891" s="36" t="s">
        <v>70</v>
      </c>
      <c r="D891" s="39">
        <v>40.0</v>
      </c>
      <c r="E891" s="36" t="s">
        <v>55</v>
      </c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7" t="s">
        <v>3</v>
      </c>
      <c r="B892" s="38">
        <f>IFERROR(__xludf.DUMMYFUNCTION("""COMPUTED_VALUE"""),30.0)</f>
        <v>30</v>
      </c>
      <c r="C892" s="36" t="s">
        <v>70</v>
      </c>
      <c r="D892" s="39">
        <v>62.2</v>
      </c>
      <c r="E892" s="36" t="s">
        <v>55</v>
      </c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7" t="s">
        <v>4</v>
      </c>
      <c r="B893" s="38">
        <f>IFERROR(__xludf.DUMMYFUNCTION("""COMPUTED_VALUE"""),10.0)</f>
        <v>10</v>
      </c>
      <c r="C893" s="36" t="s">
        <v>70</v>
      </c>
      <c r="D893" s="39">
        <v>15.9</v>
      </c>
      <c r="E893" s="36" t="s">
        <v>55</v>
      </c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7" t="s">
        <v>5</v>
      </c>
      <c r="B894" s="38">
        <f>IFERROR(__xludf.DUMMYFUNCTION("""COMPUTED_VALUE"""),20.0)</f>
        <v>20</v>
      </c>
      <c r="C894" s="36" t="s">
        <v>70</v>
      </c>
      <c r="D894" s="39">
        <v>28.3</v>
      </c>
      <c r="E894" s="36" t="s">
        <v>55</v>
      </c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7" t="s">
        <v>6</v>
      </c>
      <c r="B895" s="38">
        <f>IFERROR(__xludf.DUMMYFUNCTION("""COMPUTED_VALUE"""),30.0)</f>
        <v>30</v>
      </c>
      <c r="C895" s="36" t="s">
        <v>70</v>
      </c>
      <c r="D895" s="39">
        <v>38.5</v>
      </c>
      <c r="E895" s="36" t="s">
        <v>55</v>
      </c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7" t="s">
        <v>7</v>
      </c>
      <c r="B896" s="38">
        <f>IFERROR(__xludf.DUMMYFUNCTION("""COMPUTED_VALUE"""),10.0)</f>
        <v>10</v>
      </c>
      <c r="C896" s="36" t="s">
        <v>70</v>
      </c>
      <c r="D896" s="39">
        <v>11.0</v>
      </c>
      <c r="E896" s="36" t="s">
        <v>55</v>
      </c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7" t="s">
        <v>8</v>
      </c>
      <c r="B897" s="38">
        <f>IFERROR(__xludf.DUMMYFUNCTION("""COMPUTED_VALUE"""),20.0)</f>
        <v>20</v>
      </c>
      <c r="C897" s="36" t="s">
        <v>70</v>
      </c>
      <c r="D897" s="39">
        <v>23.2</v>
      </c>
      <c r="E897" s="36" t="s">
        <v>55</v>
      </c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7" t="s">
        <v>9</v>
      </c>
      <c r="B898" s="38">
        <f>IFERROR(__xludf.DUMMYFUNCTION("""COMPUTED_VALUE"""),30.0)</f>
        <v>30</v>
      </c>
      <c r="C898" s="36" t="s">
        <v>70</v>
      </c>
      <c r="D898" s="39">
        <v>36.3</v>
      </c>
      <c r="E898" s="36" t="s">
        <v>55</v>
      </c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7" t="s">
        <v>10</v>
      </c>
      <c r="B899" s="38">
        <f>IFERROR(__xludf.DUMMYFUNCTION("""COMPUTED_VALUE"""),10.0)</f>
        <v>10</v>
      </c>
      <c r="C899" s="36" t="s">
        <v>70</v>
      </c>
      <c r="D899" s="39">
        <v>12.3</v>
      </c>
      <c r="E899" s="36" t="s">
        <v>55</v>
      </c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7" t="s">
        <v>11</v>
      </c>
      <c r="B900" s="38">
        <f>IFERROR(__xludf.DUMMYFUNCTION("""COMPUTED_VALUE"""),20.0)</f>
        <v>20</v>
      </c>
      <c r="C900" s="36" t="s">
        <v>70</v>
      </c>
      <c r="D900" s="39">
        <v>31.9</v>
      </c>
      <c r="E900" s="36" t="s">
        <v>55</v>
      </c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7" t="s">
        <v>12</v>
      </c>
      <c r="B901" s="38">
        <f>IFERROR(__xludf.DUMMYFUNCTION("""COMPUTED_VALUE"""),30.0)</f>
        <v>30</v>
      </c>
      <c r="C901" s="36" t="s">
        <v>70</v>
      </c>
      <c r="D901" s="39">
        <v>32.3</v>
      </c>
      <c r="E901" s="36" t="s">
        <v>55</v>
      </c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7" t="s">
        <v>13</v>
      </c>
      <c r="B902" s="38">
        <f>IFERROR(__xludf.DUMMYFUNCTION("""COMPUTED_VALUE"""),10.0)</f>
        <v>10</v>
      </c>
      <c r="C902" s="36" t="s">
        <v>70</v>
      </c>
      <c r="D902" s="39">
        <v>10.6</v>
      </c>
      <c r="E902" s="36" t="s">
        <v>55</v>
      </c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7" t="s">
        <v>14</v>
      </c>
      <c r="B903" s="38">
        <f>IFERROR(__xludf.DUMMYFUNCTION("""COMPUTED_VALUE"""),20.0)</f>
        <v>20</v>
      </c>
      <c r="C903" s="36" t="s">
        <v>70</v>
      </c>
      <c r="D903" s="39">
        <v>22.7</v>
      </c>
      <c r="E903" s="36" t="s">
        <v>55</v>
      </c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7" t="s">
        <v>15</v>
      </c>
      <c r="B904" s="38">
        <f>IFERROR(__xludf.DUMMYFUNCTION("""COMPUTED_VALUE"""),30.0)</f>
        <v>30</v>
      </c>
      <c r="C904" s="36" t="s">
        <v>70</v>
      </c>
      <c r="D904" s="39">
        <v>26.8</v>
      </c>
      <c r="E904" s="36" t="s">
        <v>55</v>
      </c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>
      <c r="A905" s="37" t="s">
        <v>16</v>
      </c>
      <c r="B905" s="38">
        <f>IFERROR(__xludf.DUMMYFUNCTION("""COMPUTED_VALUE"""),10.0)</f>
        <v>10</v>
      </c>
      <c r="C905" s="36" t="s">
        <v>70</v>
      </c>
      <c r="D905" s="39">
        <v>10.7</v>
      </c>
      <c r="E905" s="36" t="s">
        <v>55</v>
      </c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>
      <c r="A906" s="37" t="s">
        <v>17</v>
      </c>
      <c r="B906" s="38">
        <f>IFERROR(__xludf.DUMMYFUNCTION("""COMPUTED_VALUE"""),20.0)</f>
        <v>20</v>
      </c>
      <c r="C906" s="36" t="s">
        <v>70</v>
      </c>
      <c r="D906" s="39">
        <v>21.7</v>
      </c>
      <c r="E906" s="36" t="s">
        <v>55</v>
      </c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>
      <c r="A907" s="37" t="s">
        <v>18</v>
      </c>
      <c r="B907" s="38">
        <f>IFERROR(__xludf.DUMMYFUNCTION("""COMPUTED_VALUE"""),30.0)</f>
        <v>30</v>
      </c>
      <c r="C907" s="36" t="s">
        <v>70</v>
      </c>
      <c r="D907" s="39">
        <v>31.1</v>
      </c>
      <c r="E907" s="36" t="s">
        <v>55</v>
      </c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>
      <c r="A908" s="37" t="s">
        <v>19</v>
      </c>
      <c r="B908" s="38">
        <f>IFERROR(__xludf.DUMMYFUNCTION("""COMPUTED_VALUE"""),10.0)</f>
        <v>10</v>
      </c>
      <c r="C908" s="36" t="s">
        <v>70</v>
      </c>
      <c r="D908" s="39">
        <v>12.4</v>
      </c>
      <c r="E908" s="36" t="s">
        <v>55</v>
      </c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>
      <c r="A909" s="37" t="s">
        <v>20</v>
      </c>
      <c r="B909" s="38">
        <f>IFERROR(__xludf.DUMMYFUNCTION("""COMPUTED_VALUE"""),20.0)</f>
        <v>20</v>
      </c>
      <c r="C909" s="36" t="s">
        <v>70</v>
      </c>
      <c r="D909" s="39">
        <v>20.1</v>
      </c>
      <c r="E909" s="36" t="s">
        <v>55</v>
      </c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>
      <c r="A910" s="37" t="s">
        <v>21</v>
      </c>
      <c r="B910" s="38">
        <f>IFERROR(__xludf.DUMMYFUNCTION("""COMPUTED_VALUE"""),30.0)</f>
        <v>30</v>
      </c>
      <c r="C910" s="36" t="s">
        <v>70</v>
      </c>
      <c r="D910" s="39">
        <v>35.7</v>
      </c>
      <c r="E910" s="36" t="s">
        <v>55</v>
      </c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>
      <c r="A911" s="37" t="s">
        <v>22</v>
      </c>
      <c r="B911" s="38">
        <f>IFERROR(__xludf.DUMMYFUNCTION("""COMPUTED_VALUE"""),10.0)</f>
        <v>10</v>
      </c>
      <c r="C911" s="36" t="s">
        <v>70</v>
      </c>
      <c r="D911" s="39">
        <v>12.8</v>
      </c>
      <c r="E911" s="36" t="s">
        <v>55</v>
      </c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>
      <c r="A912" s="37" t="s">
        <v>23</v>
      </c>
      <c r="B912" s="38">
        <f>IFERROR(__xludf.DUMMYFUNCTION("""COMPUTED_VALUE"""),20.0)</f>
        <v>20</v>
      </c>
      <c r="C912" s="36" t="s">
        <v>70</v>
      </c>
      <c r="D912" s="39">
        <v>21.6</v>
      </c>
      <c r="E912" s="36" t="s">
        <v>55</v>
      </c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>
      <c r="A913" s="37" t="s">
        <v>24</v>
      </c>
      <c r="B913" s="38">
        <f>IFERROR(__xludf.DUMMYFUNCTION("""COMPUTED_VALUE"""),30.0)</f>
        <v>30</v>
      </c>
      <c r="C913" s="36" t="s">
        <v>70</v>
      </c>
      <c r="D913" s="39">
        <v>42.3</v>
      </c>
      <c r="E913" s="36" t="s">
        <v>55</v>
      </c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>
      <c r="A914" s="36"/>
      <c r="B914" s="38" t="str">
        <f>IFERROR(__xludf.DUMMYFUNCTION("""COMPUTED_VALUE"""),"")</f>
        <v/>
      </c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>
      <c r="A915" s="36"/>
      <c r="B915" s="38" t="str">
        <f>IFERROR(__xludf.DUMMYFUNCTION("""COMPUTED_VALUE"""),"")</f>
        <v/>
      </c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>
      <c r="A916" s="36"/>
      <c r="B916" s="38" t="str">
        <f>IFERROR(__xludf.DUMMYFUNCTION("""COMPUTED_VALUE"""),"")</f>
        <v/>
      </c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>
      <c r="A917" s="36"/>
      <c r="B917" s="38" t="str">
        <f>IFERROR(__xludf.DUMMYFUNCTION("""COMPUTED_VALUE"""),"")</f>
        <v/>
      </c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>
      <c r="A918" s="36"/>
      <c r="B918" s="38" t="str">
        <f>IFERROR(__xludf.DUMMYFUNCTION("""COMPUTED_VALUE"""),"")</f>
        <v/>
      </c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>
      <c r="A919" s="36"/>
      <c r="B919" s="38" t="str">
        <f>IFERROR(__xludf.DUMMYFUNCTION("""COMPUTED_VALUE"""),"")</f>
        <v/>
      </c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>
      <c r="A920" s="36"/>
      <c r="B920" s="38" t="str">
        <f>IFERROR(__xludf.DUMMYFUNCTION("""COMPUTED_VALUE"""),"")</f>
        <v/>
      </c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>
      <c r="A921" s="36"/>
      <c r="B921" s="38" t="str">
        <f>IFERROR(__xludf.DUMMYFUNCTION("""COMPUTED_VALUE"""),"")</f>
        <v/>
      </c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>
      <c r="A922" s="36"/>
      <c r="B922" s="38" t="str">
        <f>IFERROR(__xludf.DUMMYFUNCTION("""COMPUTED_VALUE"""),"")</f>
        <v/>
      </c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8" t="str">
        <f>IFERROR(__xludf.DUMMYFUNCTION("""COMPUTED_VALUE"""),"")</f>
        <v/>
      </c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8" t="str">
        <f>IFERROR(__xludf.DUMMYFUNCTION("""COMPUTED_VALUE"""),"")</f>
        <v/>
      </c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8" t="str">
        <f>IFERROR(__xludf.DUMMYFUNCTION("""COMPUTED_VALUE"""),"")</f>
        <v/>
      </c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8" t="str">
        <f>IFERROR(__xludf.DUMMYFUNCTION("""COMPUTED_VALUE"""),"")</f>
        <v/>
      </c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8" t="str">
        <f>IFERROR(__xludf.DUMMYFUNCTION("""COMPUTED_VALUE"""),"")</f>
        <v/>
      </c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8" t="str">
        <f>IFERROR(__xludf.DUMMYFUNCTION("""COMPUTED_VALUE"""),"")</f>
        <v/>
      </c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8" t="str">
        <f>IFERROR(__xludf.DUMMYFUNCTION("""COMPUTED_VALUE"""),"")</f>
        <v/>
      </c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8" t="str">
        <f>IFERROR(__xludf.DUMMYFUNCTION("""COMPUTED_VALUE"""),"")</f>
        <v/>
      </c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8" t="str">
        <f>IFERROR(__xludf.DUMMYFUNCTION("""COMPUTED_VALUE"""),"")</f>
        <v/>
      </c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8" t="str">
        <f>IFERROR(__xludf.DUMMYFUNCTION("""COMPUTED_VALUE"""),"")</f>
        <v/>
      </c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8" t="str">
        <f>IFERROR(__xludf.DUMMYFUNCTION("""COMPUTED_VALUE"""),"")</f>
        <v/>
      </c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8" t="str">
        <f>IFERROR(__xludf.DUMMYFUNCTION("""COMPUTED_VALUE"""),"")</f>
        <v/>
      </c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8" t="str">
        <f>IFERROR(__xludf.DUMMYFUNCTION("""COMPUTED_VALUE"""),"")</f>
        <v/>
      </c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8" t="str">
        <f>IFERROR(__xludf.DUMMYFUNCTION("""COMPUTED_VALUE"""),"")</f>
        <v/>
      </c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8" t="str">
        <f>IFERROR(__xludf.DUMMYFUNCTION("""COMPUTED_VALUE"""),"")</f>
        <v/>
      </c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8" t="str">
        <f>IFERROR(__xludf.DUMMYFUNCTION("""COMPUTED_VALUE"""),"")</f>
        <v/>
      </c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8" t="str">
        <f>IFERROR(__xludf.DUMMYFUNCTION("""COMPUTED_VALUE"""),"")</f>
        <v/>
      </c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8" t="str">
        <f>IFERROR(__xludf.DUMMYFUNCTION("""COMPUTED_VALUE"""),"")</f>
        <v/>
      </c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8" t="str">
        <f>IFERROR(__xludf.DUMMYFUNCTION("""COMPUTED_VALUE"""),"")</f>
        <v/>
      </c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8" t="str">
        <f>IFERROR(__xludf.DUMMYFUNCTION("""COMPUTED_VALUE"""),"")</f>
        <v/>
      </c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8" t="str">
        <f>IFERROR(__xludf.DUMMYFUNCTION("""COMPUTED_VALUE"""),"")</f>
        <v/>
      </c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8" t="str">
        <f>IFERROR(__xludf.DUMMYFUNCTION("""COMPUTED_VALUE"""),"")</f>
        <v/>
      </c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8" t="str">
        <f>IFERROR(__xludf.DUMMYFUNCTION("""COMPUTED_VALUE"""),"")</f>
        <v/>
      </c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8" t="str">
        <f>IFERROR(__xludf.DUMMYFUNCTION("""COMPUTED_VALUE"""),"")</f>
        <v/>
      </c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8" t="str">
        <f>IFERROR(__xludf.DUMMYFUNCTION("""COMPUTED_VALUE"""),"")</f>
        <v/>
      </c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8" t="str">
        <f>IFERROR(__xludf.DUMMYFUNCTION("""COMPUTED_VALUE"""),"")</f>
        <v/>
      </c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8" t="str">
        <f>IFERROR(__xludf.DUMMYFUNCTION("""COMPUTED_VALUE"""),"")</f>
        <v/>
      </c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8" t="str">
        <f>IFERROR(__xludf.DUMMYFUNCTION("""COMPUTED_VALUE"""),"")</f>
        <v/>
      </c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8" t="str">
        <f>IFERROR(__xludf.DUMMYFUNCTION("""COMPUTED_VALUE"""),"")</f>
        <v/>
      </c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8" t="str">
        <f>IFERROR(__xludf.DUMMYFUNCTION("""COMPUTED_VALUE"""),"")</f>
        <v/>
      </c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8" t="str">
        <f>IFERROR(__xludf.DUMMYFUNCTION("""COMPUTED_VALUE"""),"")</f>
        <v/>
      </c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8" t="str">
        <f>IFERROR(__xludf.DUMMYFUNCTION("""COMPUTED_VALUE"""),"")</f>
        <v/>
      </c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8" t="str">
        <f>IFERROR(__xludf.DUMMYFUNCTION("""COMPUTED_VALUE"""),"")</f>
        <v/>
      </c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8" t="str">
        <f>IFERROR(__xludf.DUMMYFUNCTION("""COMPUTED_VALUE"""),"")</f>
        <v/>
      </c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8" t="str">
        <f>IFERROR(__xludf.DUMMYFUNCTION("""COMPUTED_VALUE"""),"")</f>
        <v/>
      </c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8" t="str">
        <f>IFERROR(__xludf.DUMMYFUNCTION("""COMPUTED_VALUE"""),"")</f>
        <v/>
      </c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8" t="str">
        <f>IFERROR(__xludf.DUMMYFUNCTION("""COMPUTED_VALUE"""),"")</f>
        <v/>
      </c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8" t="str">
        <f>IFERROR(__xludf.DUMMYFUNCTION("""COMPUTED_VALUE"""),"")</f>
        <v/>
      </c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8" t="str">
        <f>IFERROR(__xludf.DUMMYFUNCTION("""COMPUTED_VALUE"""),"")</f>
        <v/>
      </c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8" t="str">
        <f>IFERROR(__xludf.DUMMYFUNCTION("""COMPUTED_VALUE"""),"")</f>
        <v/>
      </c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8" t="str">
        <f>IFERROR(__xludf.DUMMYFUNCTION("""COMPUTED_VALUE"""),"")</f>
        <v/>
      </c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8" t="str">
        <f>IFERROR(__xludf.DUMMYFUNCTION("""COMPUTED_VALUE"""),"")</f>
        <v/>
      </c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8" t="str">
        <f>IFERROR(__xludf.DUMMYFUNCTION("""COMPUTED_VALUE"""),"")</f>
        <v/>
      </c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8" t="str">
        <f>IFERROR(__xludf.DUMMYFUNCTION("""COMPUTED_VALUE"""),"")</f>
        <v/>
      </c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8" t="str">
        <f>IFERROR(__xludf.DUMMYFUNCTION("""COMPUTED_VALUE"""),"")</f>
        <v/>
      </c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8" t="str">
        <f>IFERROR(__xludf.DUMMYFUNCTION("""COMPUTED_VALUE"""),"")</f>
        <v/>
      </c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8" t="str">
        <f>IFERROR(__xludf.DUMMYFUNCTION("""COMPUTED_VALUE"""),"")</f>
        <v/>
      </c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8" t="str">
        <f>IFERROR(__xludf.DUMMYFUNCTION("""COMPUTED_VALUE"""),"")</f>
        <v/>
      </c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8" t="str">
        <f>IFERROR(__xludf.DUMMYFUNCTION("""COMPUTED_VALUE"""),"")</f>
        <v/>
      </c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8" t="str">
        <f>IFERROR(__xludf.DUMMYFUNCTION("""COMPUTED_VALUE"""),"")</f>
        <v/>
      </c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8" t="str">
        <f>IFERROR(__xludf.DUMMYFUNCTION("""COMPUTED_VALUE"""),"")</f>
        <v/>
      </c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8" t="str">
        <f>IFERROR(__xludf.DUMMYFUNCTION("""COMPUTED_VALUE"""),"")</f>
        <v/>
      </c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8" t="str">
        <f>IFERROR(__xludf.DUMMYFUNCTION("""COMPUTED_VALUE"""),"")</f>
        <v/>
      </c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8" t="str">
        <f>IFERROR(__xludf.DUMMYFUNCTION("""COMPUTED_VALUE"""),"")</f>
        <v/>
      </c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8" t="str">
        <f>IFERROR(__xludf.DUMMYFUNCTION("""COMPUTED_VALUE"""),"")</f>
        <v/>
      </c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8" t="str">
        <f>IFERROR(__xludf.DUMMYFUNCTION("""COMPUTED_VALUE"""),"")</f>
        <v/>
      </c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8" t="str">
        <f>IFERROR(__xludf.DUMMYFUNCTION("""COMPUTED_VALUE"""),"")</f>
        <v/>
      </c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8" t="str">
        <f>IFERROR(__xludf.DUMMYFUNCTION("""COMPUTED_VALUE"""),"")</f>
        <v/>
      </c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8" t="str">
        <f>IFERROR(__xludf.DUMMYFUNCTION("""COMPUTED_VALUE"""),"")</f>
        <v/>
      </c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8" t="str">
        <f>IFERROR(__xludf.DUMMYFUNCTION("""COMPUTED_VALUE"""),"")</f>
        <v/>
      </c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8" t="str">
        <f>IFERROR(__xludf.DUMMYFUNCTION("""COMPUTED_VALUE"""),"")</f>
        <v/>
      </c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8" t="str">
        <f>IFERROR(__xludf.DUMMYFUNCTION("""COMPUTED_VALUE"""),"")</f>
        <v/>
      </c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8" t="str">
        <f>IFERROR(__xludf.DUMMYFUNCTION("""COMPUTED_VALUE"""),"")</f>
        <v/>
      </c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8" t="str">
        <f>IFERROR(__xludf.DUMMYFUNCTION("""COMPUTED_VALUE"""),"")</f>
        <v/>
      </c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8" t="str">
        <f>IFERROR(__xludf.DUMMYFUNCTION("""COMPUTED_VALUE"""),"")</f>
        <v/>
      </c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8" t="str">
        <f>IFERROR(__xludf.DUMMYFUNCTION("""COMPUTED_VALUE"""),"")</f>
        <v/>
      </c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8" t="str">
        <f>IFERROR(__xludf.DUMMYFUNCTION("""COMPUTED_VALUE"""),"")</f>
        <v/>
      </c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8" t="str">
        <f>IFERROR(__xludf.DUMMYFUNCTION("""COMPUTED_VALUE"""),"")</f>
        <v/>
      </c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8" t="str">
        <f>IFERROR(__xludf.DUMMYFUNCTION("""COMPUTED_VALUE"""),"")</f>
        <v/>
      </c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8" t="str">
        <f>IFERROR(__xludf.DUMMYFUNCTION("""COMPUTED_VALUE"""),"")</f>
        <v/>
      </c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8" t="str">
        <f>IFERROR(__xludf.DUMMYFUNCTION("""COMPUTED_VALUE"""),"")</f>
        <v/>
      </c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8" t="str">
        <f>IFERROR(__xludf.DUMMYFUNCTION("""COMPUTED_VALUE"""),"")</f>
        <v/>
      </c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8" t="str">
        <f>IFERROR(__xludf.DUMMYFUNCTION("""COMPUTED_VALUE"""),"")</f>
        <v/>
      </c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8" t="str">
        <f>IFERROR(__xludf.DUMMYFUNCTION("""COMPUTED_VALUE"""),"")</f>
        <v/>
      </c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8" t="str">
        <f>IFERROR(__xludf.DUMMYFUNCTION("""COMPUTED_VALUE"""),"")</f>
        <v/>
      </c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8" t="str">
        <f>IFERROR(__xludf.DUMMYFUNCTION("""COMPUTED_VALUE"""),"")</f>
        <v/>
      </c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>
      <c r="A999" s="36"/>
      <c r="B999" s="38" t="str">
        <f>IFERROR(__xludf.DUMMYFUNCTION("""COMPUTED_VALUE"""),"")</f>
        <v/>
      </c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>
      <c r="A1000" s="36"/>
      <c r="B1000" s="38" t="str">
        <f>IFERROR(__xludf.DUMMYFUNCTION("""COMPUTED_VALUE"""),"")</f>
        <v/>
      </c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>
      <c r="A1001" s="36"/>
      <c r="B1001" s="38" t="str">
        <f>IFERROR(__xludf.DUMMYFUNCTION("""COMPUTED_VALUE"""),"")</f>
        <v/>
      </c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25"/>
    <col customWidth="1" min="4" max="4" width="18.25"/>
    <col customWidth="1" min="5" max="5" width="22.88"/>
  </cols>
  <sheetData>
    <row r="1" ht="22.5" customHeight="1">
      <c r="A1" s="40" t="s">
        <v>76</v>
      </c>
      <c r="B1" s="40" t="s">
        <v>77</v>
      </c>
      <c r="C1" s="40" t="s">
        <v>78</v>
      </c>
      <c r="D1" s="41" t="s">
        <v>79</v>
      </c>
      <c r="E1" s="42" t="s">
        <v>80</v>
      </c>
    </row>
    <row r="2" ht="22.5" customHeight="1">
      <c r="A2" s="43" t="s">
        <v>81</v>
      </c>
      <c r="B2" s="44">
        <v>2013.0</v>
      </c>
      <c r="C2" s="44">
        <v>6682214.0</v>
      </c>
      <c r="D2" s="45">
        <v>0.0</v>
      </c>
      <c r="E2" s="46">
        <f>C2 / VLOOKUP(B2, Worlds!A:B, 2, FALSE)</f>
        <v>0.3164982857</v>
      </c>
    </row>
    <row r="3" ht="22.5" customHeight="1">
      <c r="A3" s="43" t="s">
        <v>81</v>
      </c>
      <c r="B3" s="44">
        <v>2014.0</v>
      </c>
      <c r="C3" s="44">
        <v>6842407.0</v>
      </c>
      <c r="D3" s="47">
        <f t="shared" ref="D3:D12" si="1">(C3-C2)/C2</f>
        <v>0.02397304247</v>
      </c>
      <c r="E3" s="46">
        <f>C3 / VLOOKUP(B3, Worlds!A:B, 2, FALSE)</f>
        <v>0.3152820651</v>
      </c>
    </row>
    <row r="4" ht="22.5" customHeight="1">
      <c r="A4" s="43" t="s">
        <v>81</v>
      </c>
      <c r="B4" s="44">
        <v>2015.0</v>
      </c>
      <c r="C4" s="44">
        <v>6992891.0</v>
      </c>
      <c r="D4" s="47">
        <f t="shared" si="1"/>
        <v>0.0219928455</v>
      </c>
      <c r="E4" s="46">
        <f>C4 / VLOOKUP(B4, Worlds!A:B, 2, FALSE)</f>
        <v>0.3193669211</v>
      </c>
    </row>
    <row r="5" ht="22.5" customHeight="1">
      <c r="A5" s="43" t="s">
        <v>81</v>
      </c>
      <c r="B5" s="44">
        <v>2016.0</v>
      </c>
      <c r="C5" s="44">
        <v>7275800.0</v>
      </c>
      <c r="D5" s="47">
        <f t="shared" si="1"/>
        <v>0.04045665805</v>
      </c>
      <c r="E5" s="46">
        <f>C5 / VLOOKUP(B5, Worlds!A:B, 2, FALSE)</f>
        <v>0.3256689045</v>
      </c>
    </row>
    <row r="6" ht="22.5" customHeight="1">
      <c r="A6" s="43" t="s">
        <v>81</v>
      </c>
      <c r="B6" s="44">
        <v>2017.0</v>
      </c>
      <c r="C6" s="44">
        <v>7643565.0</v>
      </c>
      <c r="D6" s="47">
        <f t="shared" si="1"/>
        <v>0.05054633167</v>
      </c>
      <c r="E6" s="46">
        <f>C6 / VLOOKUP(B6, Worlds!A:B, 2, FALSE)</f>
        <v>0.3315346799</v>
      </c>
    </row>
    <row r="7" ht="22.5" customHeight="1">
      <c r="A7" s="43" t="s">
        <v>81</v>
      </c>
      <c r="B7" s="44">
        <v>2018.0</v>
      </c>
      <c r="C7" s="44">
        <v>7840193.0</v>
      </c>
      <c r="D7" s="47">
        <f t="shared" si="1"/>
        <v>0.0257246455</v>
      </c>
      <c r="E7" s="46">
        <f>C7 / VLOOKUP(B7, Worlds!A:B, 2, FALSE)</f>
        <v>0.3276648775</v>
      </c>
    </row>
    <row r="8" ht="22.5" customHeight="1">
      <c r="A8" s="43" t="s">
        <v>81</v>
      </c>
      <c r="B8" s="44">
        <v>2019.0</v>
      </c>
      <c r="C8" s="44">
        <v>7903277.0</v>
      </c>
      <c r="D8" s="47">
        <f t="shared" si="1"/>
        <v>0.008046230495</v>
      </c>
      <c r="E8" s="46">
        <f>C8 / VLOOKUP(B8, Worlds!A:B, 2, FALSE)</f>
        <v>0.329797685</v>
      </c>
    </row>
    <row r="9" ht="22.5" customHeight="1">
      <c r="A9" s="43" t="s">
        <v>81</v>
      </c>
      <c r="B9" s="44">
        <v>2020.0</v>
      </c>
      <c r="C9" s="44">
        <v>8087310.0</v>
      </c>
      <c r="D9" s="47">
        <f t="shared" si="1"/>
        <v>0.02328565733</v>
      </c>
      <c r="E9" s="46">
        <f>C9 / VLOOKUP(B9, Worlds!A:B, 2, FALSE)</f>
        <v>0.3416169328</v>
      </c>
    </row>
    <row r="10" ht="22.5" customHeight="1">
      <c r="A10" s="43" t="s">
        <v>81</v>
      </c>
      <c r="B10" s="44">
        <v>2021.0</v>
      </c>
      <c r="C10" s="44">
        <v>8311518.0</v>
      </c>
      <c r="D10" s="47">
        <f t="shared" si="1"/>
        <v>0.02772343338</v>
      </c>
      <c r="E10" s="46">
        <f>C10 / VLOOKUP(B10, Worlds!A:B, 2, FALSE)</f>
        <v>0.3385410472</v>
      </c>
    </row>
    <row r="11" ht="22.5" customHeight="1">
      <c r="A11" s="43" t="s">
        <v>81</v>
      </c>
      <c r="B11" s="44">
        <v>2022.0</v>
      </c>
      <c r="C11" s="44">
        <v>8605122.0</v>
      </c>
      <c r="D11" s="47">
        <f t="shared" si="1"/>
        <v>0.03532495508</v>
      </c>
      <c r="E11" s="46">
        <f>C11 / VLOOKUP(B11, Worlds!A:B, 2, FALSE)</f>
        <v>0.3500011155</v>
      </c>
    </row>
    <row r="12" ht="22.5" customHeight="1">
      <c r="A12" s="43" t="s">
        <v>81</v>
      </c>
      <c r="B12" s="44">
        <v>2023.0</v>
      </c>
      <c r="C12" s="44">
        <v>8605125.0</v>
      </c>
      <c r="D12" s="47">
        <f t="shared" si="1"/>
        <v>0.000000348629572</v>
      </c>
      <c r="E12" s="46">
        <f>C12 / VLOOKUP(B12, Worlds!A:B, 2, FALSE)</f>
        <v>0.3431487347</v>
      </c>
    </row>
  </sheetData>
  <dataValidations>
    <dataValidation type="custom" allowBlank="1" showDropDown="1" sqref="B2:E1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77</v>
      </c>
      <c r="B1" s="48" t="s">
        <v>82</v>
      </c>
    </row>
    <row r="2">
      <c r="A2" s="48">
        <v>2000.0</v>
      </c>
      <c r="B2" s="49">
        <f>SUMIF(world_bioenergy!B:B, A2, world_bioenergy!C:C)</f>
        <v>15356735.93</v>
      </c>
    </row>
    <row r="3">
      <c r="A3" s="48">
        <v>2001.0</v>
      </c>
      <c r="B3" s="49">
        <f>SUMIF(world_bioenergy!B:B, A3, world_bioenergy!C:C)</f>
        <v>15237485.05</v>
      </c>
    </row>
    <row r="4">
      <c r="A4" s="48">
        <v>2002.0</v>
      </c>
      <c r="B4" s="49">
        <f>SUMIF(world_bioenergy!B:B, A4, world_bioenergy!C:C)</f>
        <v>15637858.9</v>
      </c>
    </row>
    <row r="5">
      <c r="A5" s="48">
        <v>2003.0</v>
      </c>
      <c r="B5" s="49">
        <f>SUMIF(world_bioenergy!B:B, A5, world_bioenergy!C:C)</f>
        <v>16427534.8</v>
      </c>
    </row>
    <row r="6">
      <c r="A6" s="48">
        <v>2004.0</v>
      </c>
      <c r="B6" s="49">
        <f>SUMIF(world_bioenergy!B:B, A6, world_bioenergy!C:C)</f>
        <v>17000758</v>
      </c>
    </row>
    <row r="7">
      <c r="A7" s="48">
        <v>2005.0</v>
      </c>
      <c r="B7" s="49">
        <f>SUMIF(world_bioenergy!B:B, A7, world_bioenergy!C:C)</f>
        <v>17526893.9</v>
      </c>
    </row>
    <row r="8">
      <c r="A8" s="48">
        <v>2006.0</v>
      </c>
      <c r="B8" s="49">
        <f>SUMIF(world_bioenergy!B:B, A8, world_bioenergy!C:C)</f>
        <v>18165891.5</v>
      </c>
    </row>
    <row r="9">
      <c r="A9" s="48">
        <v>2007.0</v>
      </c>
      <c r="B9" s="49">
        <f>SUMIF(world_bioenergy!B:B, A9, world_bioenergy!C:C)</f>
        <v>19172885.8</v>
      </c>
    </row>
    <row r="10">
      <c r="A10" s="48">
        <v>2008.0</v>
      </c>
      <c r="B10" s="49">
        <f>SUMIF(world_bioenergy!B:B, A10, world_bioenergy!C:C)</f>
        <v>19374639.8</v>
      </c>
    </row>
    <row r="11">
      <c r="A11" s="48">
        <v>2009.0</v>
      </c>
      <c r="B11" s="49">
        <f>SUMIF(world_bioenergy!B:B, A11, world_bioenergy!C:C)</f>
        <v>19185813.2</v>
      </c>
    </row>
    <row r="12">
      <c r="A12" s="48">
        <v>2010.0</v>
      </c>
      <c r="B12" s="49">
        <f>SUMIF(world_bioenergy!B:B, A12, world_bioenergy!C:C)</f>
        <v>19973891.2</v>
      </c>
    </row>
    <row r="13">
      <c r="A13" s="48">
        <v>2011.0</v>
      </c>
      <c r="B13" s="49">
        <f>SUMIF(world_bioenergy!B:B, A13, world_bioenergy!C:C)</f>
        <v>20005202</v>
      </c>
    </row>
    <row r="14">
      <c r="A14" s="48">
        <v>2012.0</v>
      </c>
      <c r="B14" s="49">
        <f>SUMIF(world_bioenergy!B:B, A14, world_bioenergy!C:C)</f>
        <v>20368455.6</v>
      </c>
    </row>
    <row r="15">
      <c r="A15" s="48">
        <v>2013.0</v>
      </c>
      <c r="B15" s="49">
        <f>SUMIF(world_bioenergy!B:B, A15, world_bioenergy!C:C)</f>
        <v>21112954.8</v>
      </c>
    </row>
    <row r="16">
      <c r="A16" s="48">
        <v>2014.0</v>
      </c>
      <c r="B16" s="49">
        <f>SUMIF(world_bioenergy!B:B, A16, world_bioenergy!C:C)</f>
        <v>21702493.6</v>
      </c>
    </row>
    <row r="17">
      <c r="A17" s="48">
        <v>2015.0</v>
      </c>
      <c r="B17" s="49">
        <f>SUMIF(world_bioenergy!B:B, A17, world_bioenergy!C:C)</f>
        <v>21896103</v>
      </c>
    </row>
    <row r="18">
      <c r="A18" s="48">
        <v>2016.0</v>
      </c>
      <c r="B18" s="49">
        <f>SUMIF(world_bioenergy!B:B, A18, world_bioenergy!C:C)</f>
        <v>22341095.2</v>
      </c>
    </row>
    <row r="19">
      <c r="A19" s="48">
        <v>2017.0</v>
      </c>
      <c r="B19" s="49">
        <f>SUMIF(world_bioenergy!B:B, A19, world_bioenergy!C:C)</f>
        <v>23055099.4</v>
      </c>
    </row>
    <row r="20">
      <c r="A20" s="48">
        <v>2018.0</v>
      </c>
      <c r="B20" s="49">
        <f>SUMIF(world_bioenergy!B:B, A20, world_bioenergy!C:C)</f>
        <v>23927474.5</v>
      </c>
    </row>
    <row r="21">
      <c r="A21" s="48">
        <v>2019.0</v>
      </c>
      <c r="B21" s="49">
        <f>SUMIF(world_bioenergy!B:B, A21, world_bioenergy!C:C)</f>
        <v>23964016</v>
      </c>
    </row>
    <row r="22">
      <c r="A22" s="48">
        <v>2020.0</v>
      </c>
      <c r="B22" s="49">
        <f>SUMIF(world_bioenergy!B:B, A22, world_bioenergy!C:C)</f>
        <v>23673621.6</v>
      </c>
    </row>
    <row r="23">
      <c r="A23" s="48">
        <v>2021.0</v>
      </c>
      <c r="B23" s="49">
        <f>SUMIF(world_bioenergy!B:B, A23, world_bioenergy!C:C)</f>
        <v>24550990.4</v>
      </c>
    </row>
    <row r="24">
      <c r="A24" s="48">
        <v>2022.0</v>
      </c>
      <c r="B24" s="49">
        <f>SUMIF(world_bioenergy!B:B, A24, world_bioenergy!C:C)</f>
        <v>24585984.5</v>
      </c>
    </row>
    <row r="25">
      <c r="A25" s="48">
        <v>2023.0</v>
      </c>
      <c r="B25" s="49">
        <f>SUMIF(world_bioenergy!B:B, A25, world_bioenergy!C:C)</f>
        <v>25076953.9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13"/>
    <col customWidth="1" min="2" max="7" width="23.0"/>
    <col customWidth="1" min="8" max="8" width="28.88"/>
    <col customWidth="1" min="9" max="10" width="21.88"/>
    <col customWidth="1" min="11" max="11" width="32.88"/>
  </cols>
  <sheetData>
    <row r="1">
      <c r="A1" s="50" t="s">
        <v>83</v>
      </c>
    </row>
    <row r="2" ht="22.5" customHeight="1">
      <c r="A2" s="51" t="s">
        <v>84</v>
      </c>
      <c r="B2" s="51" t="s">
        <v>85</v>
      </c>
      <c r="C2" s="51" t="s">
        <v>86</v>
      </c>
      <c r="D2" s="51" t="s">
        <v>87</v>
      </c>
      <c r="E2" s="51" t="s">
        <v>88</v>
      </c>
      <c r="F2" s="51" t="s">
        <v>89</v>
      </c>
      <c r="G2" s="51" t="s">
        <v>90</v>
      </c>
      <c r="H2" s="51" t="s">
        <v>91</v>
      </c>
      <c r="I2" s="51" t="s">
        <v>92</v>
      </c>
      <c r="J2" s="51" t="s">
        <v>93</v>
      </c>
    </row>
    <row r="3" ht="22.5" customHeight="1">
      <c r="A3" s="52" t="s">
        <v>94</v>
      </c>
      <c r="B3" s="53" t="s">
        <v>95</v>
      </c>
      <c r="C3" s="53">
        <v>19.7</v>
      </c>
      <c r="D3" s="53">
        <v>1.0</v>
      </c>
      <c r="E3" s="53" t="s">
        <v>95</v>
      </c>
      <c r="F3" s="53">
        <v>0.1</v>
      </c>
      <c r="G3" s="53" t="s">
        <v>95</v>
      </c>
      <c r="H3" s="53" t="s">
        <v>95</v>
      </c>
      <c r="I3" s="53" t="s">
        <v>95</v>
      </c>
      <c r="J3" s="53">
        <v>201.0</v>
      </c>
    </row>
    <row r="4" ht="22.5" customHeight="1">
      <c r="A4" s="52" t="s">
        <v>96</v>
      </c>
      <c r="B4" s="53">
        <v>0.1</v>
      </c>
      <c r="C4" s="53">
        <v>14407.0</v>
      </c>
      <c r="D4" s="53">
        <v>4248.0</v>
      </c>
      <c r="E4" s="53">
        <v>164.0</v>
      </c>
      <c r="F4" s="53">
        <v>394.0</v>
      </c>
      <c r="G4" s="53">
        <v>1619.0</v>
      </c>
      <c r="H4" s="53">
        <v>3.0</v>
      </c>
      <c r="I4" s="53">
        <v>278.0</v>
      </c>
      <c r="J4" s="53">
        <v>40012.0</v>
      </c>
    </row>
    <row r="5" ht="22.5" customHeight="1">
      <c r="A5" s="52" t="s">
        <v>97</v>
      </c>
      <c r="B5" s="53">
        <v>14.2</v>
      </c>
      <c r="C5" s="53">
        <v>322.0</v>
      </c>
      <c r="D5" s="53" t="s">
        <v>95</v>
      </c>
      <c r="E5" s="53" t="s">
        <v>95</v>
      </c>
      <c r="F5" s="53">
        <v>2.1</v>
      </c>
      <c r="G5" s="53" t="s">
        <v>95</v>
      </c>
      <c r="H5" s="53" t="s">
        <v>95</v>
      </c>
      <c r="I5" s="53" t="s">
        <v>95</v>
      </c>
      <c r="J5" s="53">
        <v>751.0</v>
      </c>
    </row>
    <row r="6" ht="22.5" customHeight="1">
      <c r="A6" s="52" t="s">
        <v>98</v>
      </c>
      <c r="B6" s="53">
        <v>43.6</v>
      </c>
      <c r="C6" s="53">
        <v>7768.0</v>
      </c>
      <c r="D6" s="53">
        <v>212.5</v>
      </c>
      <c r="E6" s="53" t="s">
        <v>95</v>
      </c>
      <c r="F6" s="53">
        <v>56.5</v>
      </c>
      <c r="G6" s="53" t="s">
        <v>95</v>
      </c>
      <c r="H6" s="53">
        <v>344.6</v>
      </c>
      <c r="I6" s="53">
        <v>14.2</v>
      </c>
      <c r="J6" s="53">
        <v>12571.0</v>
      </c>
    </row>
    <row r="7" ht="22.5" customHeight="1">
      <c r="A7" s="52" t="s">
        <v>99</v>
      </c>
      <c r="B7" s="53">
        <v>10096.0</v>
      </c>
      <c r="C7" s="53">
        <v>11571.6</v>
      </c>
      <c r="D7" s="53">
        <v>7289.0</v>
      </c>
      <c r="E7" s="53">
        <v>12.0</v>
      </c>
      <c r="F7" s="53">
        <v>646.6</v>
      </c>
      <c r="G7" s="53">
        <v>1.7</v>
      </c>
      <c r="H7" s="53">
        <v>174.0</v>
      </c>
      <c r="I7" s="53">
        <v>93.0</v>
      </c>
      <c r="J7" s="53">
        <v>32572.0</v>
      </c>
    </row>
    <row r="8" ht="22.5" customHeight="1">
      <c r="A8" s="52" t="s">
        <v>100</v>
      </c>
      <c r="B8" s="53">
        <v>4.6</v>
      </c>
      <c r="C8" s="53">
        <v>0.1</v>
      </c>
      <c r="D8" s="53">
        <v>0.1</v>
      </c>
      <c r="E8" s="53" t="s">
        <v>95</v>
      </c>
      <c r="F8" s="53" t="s">
        <v>95</v>
      </c>
      <c r="G8" s="53" t="s">
        <v>95</v>
      </c>
      <c r="H8" s="53" t="s">
        <v>95</v>
      </c>
      <c r="I8" s="53" t="s">
        <v>95</v>
      </c>
      <c r="J8" s="53">
        <v>5.0</v>
      </c>
    </row>
    <row r="9" ht="22.5" customHeight="1">
      <c r="A9" s="52" t="s">
        <v>101</v>
      </c>
      <c r="B9" s="53">
        <v>268.0</v>
      </c>
      <c r="C9" s="53">
        <v>10962.0</v>
      </c>
      <c r="D9" s="53">
        <v>599.5</v>
      </c>
      <c r="E9" s="53">
        <v>0.2</v>
      </c>
      <c r="F9" s="53">
        <v>3.9</v>
      </c>
      <c r="G9" s="53">
        <v>95.8</v>
      </c>
      <c r="H9" s="53">
        <v>41.4</v>
      </c>
      <c r="I9" s="53">
        <v>97.8</v>
      </c>
      <c r="J9" s="53">
        <v>12990.0</v>
      </c>
    </row>
    <row r="10" ht="22.5" customHeight="1">
      <c r="A10" s="52" t="s">
        <v>102</v>
      </c>
      <c r="B10" s="53">
        <v>0.6</v>
      </c>
      <c r="C10" s="53">
        <v>41.5</v>
      </c>
      <c r="D10" s="53">
        <v>0.2</v>
      </c>
      <c r="E10" s="53">
        <v>1.6</v>
      </c>
      <c r="F10" s="53">
        <v>2.6</v>
      </c>
      <c r="G10" s="53" t="s">
        <v>95</v>
      </c>
      <c r="H10" s="53" t="s">
        <v>95</v>
      </c>
      <c r="I10" s="53">
        <v>4.5</v>
      </c>
      <c r="J10" s="53">
        <v>53.3</v>
      </c>
    </row>
    <row r="11" ht="22.5" customHeight="1">
      <c r="A11" s="52" t="s">
        <v>103</v>
      </c>
      <c r="B11" s="53" t="s">
        <v>95</v>
      </c>
      <c r="C11" s="53">
        <v>157.5</v>
      </c>
      <c r="D11" s="53" t="s">
        <v>95</v>
      </c>
      <c r="E11" s="53" t="s">
        <v>95</v>
      </c>
      <c r="F11" s="53">
        <v>2.0</v>
      </c>
      <c r="G11" s="53">
        <v>6.5</v>
      </c>
      <c r="H11" s="53" t="s">
        <v>95</v>
      </c>
      <c r="I11" s="53" t="s">
        <v>95</v>
      </c>
      <c r="J11" s="53">
        <v>451.7</v>
      </c>
    </row>
    <row r="12" ht="22.5" customHeight="1">
      <c r="A12" s="52" t="s">
        <v>104</v>
      </c>
      <c r="B12" s="53">
        <v>4904.8</v>
      </c>
      <c r="C12" s="53">
        <v>2785.1</v>
      </c>
      <c r="D12" s="53">
        <v>1659.0</v>
      </c>
      <c r="E12" s="53">
        <v>2421.8</v>
      </c>
      <c r="F12" s="53">
        <v>555.9</v>
      </c>
      <c r="G12" s="53">
        <v>6878.0</v>
      </c>
      <c r="H12" s="53">
        <v>618.4</v>
      </c>
      <c r="I12" s="53">
        <v>945.5</v>
      </c>
      <c r="J12" s="53">
        <v>50235.7</v>
      </c>
    </row>
    <row r="13" ht="22.5" customHeight="1">
      <c r="A13" s="52" t="s">
        <v>105</v>
      </c>
      <c r="B13" s="53">
        <v>20024.4</v>
      </c>
      <c r="C13" s="53">
        <v>5985.5</v>
      </c>
      <c r="D13" s="53">
        <v>57.5</v>
      </c>
      <c r="E13" s="53">
        <v>2025.1</v>
      </c>
      <c r="F13" s="53">
        <v>371.7</v>
      </c>
      <c r="G13" s="53">
        <v>8.1</v>
      </c>
      <c r="H13" s="53">
        <v>1518.3</v>
      </c>
      <c r="I13" s="53">
        <v>26.5</v>
      </c>
      <c r="J13" s="53">
        <v>36238.6</v>
      </c>
    </row>
    <row r="14" ht="22.5" customHeight="1">
      <c r="A14" s="52" t="s">
        <v>106</v>
      </c>
      <c r="B14" s="53">
        <v>922.3</v>
      </c>
      <c r="C14" s="53">
        <v>166.5</v>
      </c>
      <c r="D14" s="53">
        <v>1459.0</v>
      </c>
      <c r="E14" s="53">
        <v>0.2</v>
      </c>
      <c r="F14" s="53">
        <v>2.0</v>
      </c>
      <c r="G14" s="53">
        <v>0.1</v>
      </c>
      <c r="H14" s="53">
        <v>6.4</v>
      </c>
      <c r="I14" s="53" t="s">
        <v>95</v>
      </c>
      <c r="J14" s="53">
        <v>2743.3</v>
      </c>
    </row>
    <row r="15" ht="22.5" customHeight="1">
      <c r="A15" s="52" t="s">
        <v>107</v>
      </c>
      <c r="B15" s="53">
        <v>1040.2</v>
      </c>
      <c r="C15" s="53">
        <v>865.9</v>
      </c>
      <c r="D15" s="53">
        <v>1221.2</v>
      </c>
      <c r="E15" s="53">
        <v>16.5</v>
      </c>
      <c r="F15" s="53" t="s">
        <v>95</v>
      </c>
      <c r="G15" s="53" t="s">
        <v>95</v>
      </c>
      <c r="H15" s="53">
        <v>56.2</v>
      </c>
      <c r="I15" s="53" t="s">
        <v>95</v>
      </c>
      <c r="J15" s="53">
        <v>3240.2</v>
      </c>
    </row>
    <row r="16" ht="22.5" customHeight="1">
      <c r="A16" s="52" t="s">
        <v>108</v>
      </c>
      <c r="B16" s="53">
        <v>340.4</v>
      </c>
      <c r="C16" s="53">
        <v>3479.3</v>
      </c>
      <c r="D16" s="53">
        <v>753.3</v>
      </c>
      <c r="E16" s="53" t="s">
        <v>95</v>
      </c>
      <c r="F16" s="53" t="s">
        <v>95</v>
      </c>
      <c r="G16" s="53" t="s">
        <v>95</v>
      </c>
      <c r="H16" s="53">
        <v>68.2</v>
      </c>
      <c r="I16" s="53">
        <v>343.3</v>
      </c>
      <c r="J16" s="53">
        <v>5311.0</v>
      </c>
    </row>
    <row r="17" ht="22.5" customHeight="1">
      <c r="A17" s="52" t="s">
        <v>109</v>
      </c>
      <c r="B17" s="53">
        <v>311.7</v>
      </c>
      <c r="C17" s="53">
        <v>4413.0</v>
      </c>
      <c r="D17" s="53">
        <v>9381.0</v>
      </c>
      <c r="E17" s="53">
        <v>644.3</v>
      </c>
      <c r="F17" s="53">
        <v>1630.5</v>
      </c>
      <c r="G17" s="53">
        <v>1111.6</v>
      </c>
      <c r="H17" s="53">
        <v>1.0</v>
      </c>
      <c r="I17" s="53">
        <v>2140.6</v>
      </c>
      <c r="J17" s="53">
        <v>34093.6</v>
      </c>
    </row>
    <row r="18" ht="22.5" customHeight="1">
      <c r="A18" s="52" t="s">
        <v>110</v>
      </c>
      <c r="B18" s="53" t="s">
        <v>95</v>
      </c>
      <c r="C18" s="53">
        <v>739.3</v>
      </c>
      <c r="D18" s="53">
        <v>0.1</v>
      </c>
      <c r="E18" s="53" t="s">
        <v>95</v>
      </c>
      <c r="F18" s="53">
        <v>0.6</v>
      </c>
      <c r="G18" s="53">
        <v>1.1</v>
      </c>
      <c r="H18" s="53" t="s">
        <v>95</v>
      </c>
      <c r="I18" s="53">
        <v>3.8</v>
      </c>
      <c r="J18" s="53">
        <v>8584.1</v>
      </c>
    </row>
    <row r="19" ht="22.5" customHeight="1">
      <c r="A19" s="52" t="s">
        <v>111</v>
      </c>
      <c r="B19" s="53">
        <v>31555.6</v>
      </c>
      <c r="C19" s="53">
        <v>5131.5</v>
      </c>
      <c r="D19" s="53">
        <v>5316.4</v>
      </c>
      <c r="E19" s="53">
        <v>1319.4</v>
      </c>
      <c r="F19" s="53">
        <v>187.8</v>
      </c>
      <c r="G19" s="53">
        <v>756.5</v>
      </c>
      <c r="H19" s="53">
        <v>1168.6</v>
      </c>
      <c r="I19" s="53">
        <v>1298.8</v>
      </c>
      <c r="J19" s="53">
        <v>70233.1</v>
      </c>
    </row>
    <row r="20" ht="22.5" customHeight="1">
      <c r="A20" s="52" t="s">
        <v>112</v>
      </c>
      <c r="B20" s="53">
        <v>3048.1</v>
      </c>
      <c r="C20" s="53">
        <v>4456.0</v>
      </c>
      <c r="D20" s="53">
        <v>6231.7</v>
      </c>
      <c r="E20" s="53">
        <v>1579.7</v>
      </c>
      <c r="F20" s="53">
        <v>3433.8</v>
      </c>
      <c r="G20" s="53">
        <v>843.1</v>
      </c>
      <c r="H20" s="53">
        <v>6.0</v>
      </c>
      <c r="I20" s="53" t="s">
        <v>95</v>
      </c>
      <c r="J20" s="53">
        <v>52540.1</v>
      </c>
    </row>
    <row r="21" ht="22.5" customHeight="1">
      <c r="A21" s="52" t="s">
        <v>113</v>
      </c>
      <c r="B21" s="53">
        <v>10.0</v>
      </c>
      <c r="C21" s="53">
        <v>803.9</v>
      </c>
      <c r="D21" s="53">
        <v>135.5</v>
      </c>
      <c r="E21" s="53" t="s">
        <v>95</v>
      </c>
      <c r="F21" s="53">
        <v>17.1</v>
      </c>
      <c r="G21" s="53">
        <v>6.5</v>
      </c>
      <c r="H21" s="53">
        <v>42.4</v>
      </c>
      <c r="I21" s="53">
        <v>1.4</v>
      </c>
      <c r="J21" s="53">
        <v>1143.8</v>
      </c>
    </row>
    <row r="22" ht="22.5" customHeight="1">
      <c r="A22" s="52" t="s">
        <v>114</v>
      </c>
      <c r="B22" s="53">
        <v>1.6</v>
      </c>
      <c r="C22" s="53">
        <v>455.1</v>
      </c>
      <c r="D22" s="53">
        <v>95.4</v>
      </c>
      <c r="E22" s="53" t="s">
        <v>95</v>
      </c>
      <c r="F22" s="53" t="s">
        <v>95</v>
      </c>
      <c r="G22" s="53" t="s">
        <v>95</v>
      </c>
      <c r="H22" s="53">
        <v>16.7</v>
      </c>
      <c r="I22" s="53">
        <v>4.2</v>
      </c>
      <c r="J22" s="53">
        <v>1373.3</v>
      </c>
    </row>
    <row r="23" ht="22.5" customHeight="1">
      <c r="A23" s="52" t="s">
        <v>115</v>
      </c>
      <c r="B23" s="53" t="s">
        <v>95</v>
      </c>
      <c r="C23" s="53">
        <v>92.6</v>
      </c>
      <c r="D23" s="53">
        <v>22.1</v>
      </c>
      <c r="E23" s="53" t="s">
        <v>95</v>
      </c>
      <c r="F23" s="53">
        <v>2.4</v>
      </c>
      <c r="G23" s="53" t="s">
        <v>116</v>
      </c>
      <c r="H23" s="53">
        <v>1.1</v>
      </c>
      <c r="I23" s="53">
        <v>0.9</v>
      </c>
      <c r="J23" s="53">
        <v>134.1</v>
      </c>
    </row>
    <row r="24" ht="22.5" customHeight="1">
      <c r="A24" s="52" t="s">
        <v>117</v>
      </c>
      <c r="B24" s="53">
        <v>9.1</v>
      </c>
      <c r="C24" s="53">
        <v>684.0</v>
      </c>
      <c r="D24" s="53">
        <v>319.3</v>
      </c>
      <c r="E24" s="53">
        <v>1.8</v>
      </c>
      <c r="F24" s="53">
        <v>21.3</v>
      </c>
      <c r="G24" s="53">
        <v>2.3</v>
      </c>
      <c r="H24" s="53">
        <v>48.9</v>
      </c>
      <c r="I24" s="53">
        <v>13.4</v>
      </c>
      <c r="J24" s="53">
        <v>1377.6</v>
      </c>
    </row>
    <row r="25" ht="22.5" customHeight="1">
      <c r="A25" s="52" t="s">
        <v>118</v>
      </c>
      <c r="B25" s="53">
        <v>0.4</v>
      </c>
      <c r="C25" s="53">
        <v>11110.3</v>
      </c>
      <c r="D25" s="53">
        <v>332.4</v>
      </c>
      <c r="E25" s="53" t="s">
        <v>95</v>
      </c>
      <c r="F25" s="53">
        <v>1.9</v>
      </c>
      <c r="G25" s="53">
        <v>114.4</v>
      </c>
      <c r="H25" s="53">
        <v>4.6</v>
      </c>
      <c r="I25" s="53" t="s">
        <v>95</v>
      </c>
      <c r="J25" s="53">
        <v>11839.2</v>
      </c>
    </row>
    <row r="26" ht="22.5" customHeight="1">
      <c r="A26" s="52" t="s">
        <v>119</v>
      </c>
      <c r="B26" s="53" t="s">
        <v>95</v>
      </c>
      <c r="C26" s="53">
        <v>76.0</v>
      </c>
      <c r="D26" s="53" t="s">
        <v>95</v>
      </c>
      <c r="E26" s="53">
        <v>0.1</v>
      </c>
      <c r="F26" s="53">
        <v>10.1</v>
      </c>
      <c r="G26" s="53">
        <v>1.9</v>
      </c>
      <c r="H26" s="53" t="s">
        <v>95</v>
      </c>
      <c r="I26" s="53">
        <v>1.0</v>
      </c>
      <c r="J26" s="53">
        <v>122.6</v>
      </c>
    </row>
    <row r="27" ht="22.5" customHeight="1">
      <c r="A27" s="52" t="s">
        <v>120</v>
      </c>
      <c r="B27" s="53">
        <v>30925.8</v>
      </c>
      <c r="C27" s="53">
        <v>18921.5</v>
      </c>
      <c r="D27" s="53">
        <v>1013.1</v>
      </c>
      <c r="E27" s="53" t="s">
        <v>95</v>
      </c>
      <c r="F27" s="53">
        <v>366.2</v>
      </c>
      <c r="G27" s="53">
        <v>5.6</v>
      </c>
      <c r="H27" s="53">
        <v>81.4</v>
      </c>
      <c r="I27" s="53">
        <v>12.1</v>
      </c>
      <c r="J27" s="53">
        <v>53003.9</v>
      </c>
    </row>
    <row r="28" ht="22.5" customHeight="1">
      <c r="A28" s="52" t="s">
        <v>121</v>
      </c>
      <c r="B28" s="53">
        <v>20609.2</v>
      </c>
      <c r="C28" s="53">
        <v>636.7</v>
      </c>
      <c r="D28" s="53">
        <v>3315.4</v>
      </c>
      <c r="E28" s="53">
        <v>9767.5</v>
      </c>
      <c r="F28" s="53">
        <v>25.5</v>
      </c>
      <c r="G28" s="53">
        <v>2656.3</v>
      </c>
      <c r="H28" s="53">
        <v>6359.4</v>
      </c>
      <c r="I28" s="53">
        <v>36.2</v>
      </c>
      <c r="J28" s="53">
        <v>59504.1</v>
      </c>
    </row>
    <row r="29" ht="22.5" customHeight="1">
      <c r="A29" s="52" t="s">
        <v>122</v>
      </c>
      <c r="B29" s="53">
        <v>0.7</v>
      </c>
      <c r="C29" s="53">
        <v>29.6</v>
      </c>
      <c r="D29" s="53">
        <v>157.3</v>
      </c>
      <c r="E29" s="53" t="s">
        <v>95</v>
      </c>
      <c r="F29" s="53" t="s">
        <v>95</v>
      </c>
      <c r="G29" s="53" t="s">
        <v>95</v>
      </c>
      <c r="H29" s="53" t="s">
        <v>95</v>
      </c>
      <c r="I29" s="53" t="s">
        <v>95</v>
      </c>
      <c r="J29" s="53">
        <v>228.6</v>
      </c>
    </row>
    <row r="30" ht="22.5" customHeight="1">
      <c r="A30" s="52" t="s">
        <v>123</v>
      </c>
      <c r="B30" s="53" t="s">
        <v>95</v>
      </c>
      <c r="C30" s="53">
        <v>18154.3</v>
      </c>
      <c r="D30" s="53">
        <v>10620.2</v>
      </c>
      <c r="E30" s="53">
        <v>711.0</v>
      </c>
      <c r="F30" s="53">
        <v>1027.5</v>
      </c>
      <c r="G30" s="53">
        <v>1908.6</v>
      </c>
      <c r="H30" s="53">
        <v>0.2</v>
      </c>
      <c r="I30" s="53">
        <v>254.3</v>
      </c>
      <c r="J30" s="53">
        <v>52141.3</v>
      </c>
    </row>
    <row r="31" ht="22.5" customHeight="1">
      <c r="A31" s="52" t="s">
        <v>124</v>
      </c>
      <c r="B31" s="53">
        <v>23.9</v>
      </c>
      <c r="C31" s="53">
        <v>10835.7</v>
      </c>
      <c r="D31" s="53">
        <v>7834.7</v>
      </c>
      <c r="E31" s="53">
        <v>51.2</v>
      </c>
      <c r="F31" s="53">
        <v>183.7</v>
      </c>
      <c r="G31" s="53">
        <v>1033.7</v>
      </c>
      <c r="H31" s="53">
        <v>5.1</v>
      </c>
      <c r="I31" s="53">
        <v>734.6</v>
      </c>
      <c r="J31" s="53">
        <v>33623.6</v>
      </c>
    </row>
    <row r="32" ht="22.5" customHeight="1">
      <c r="A32" s="52" t="s">
        <v>125</v>
      </c>
      <c r="B32" s="53">
        <v>0.6</v>
      </c>
      <c r="C32" s="53">
        <v>1345.8</v>
      </c>
      <c r="D32" s="53">
        <v>21.5</v>
      </c>
      <c r="E32" s="53" t="s">
        <v>95</v>
      </c>
      <c r="F32" s="53">
        <v>2.2</v>
      </c>
      <c r="G32" s="53">
        <v>2.4</v>
      </c>
      <c r="H32" s="53">
        <v>7.3</v>
      </c>
      <c r="I32" s="53">
        <v>7.0</v>
      </c>
      <c r="J32" s="53">
        <v>1413.3</v>
      </c>
    </row>
    <row r="33" ht="22.5" customHeight="1">
      <c r="A33" s="52" t="s">
        <v>126</v>
      </c>
      <c r="B33" s="53">
        <v>65194.1</v>
      </c>
      <c r="C33" s="53">
        <v>23005.1</v>
      </c>
      <c r="D33" s="53">
        <v>3571.3</v>
      </c>
      <c r="E33" s="53">
        <v>4656.6</v>
      </c>
      <c r="F33" s="53">
        <v>8561.7</v>
      </c>
      <c r="G33" s="53">
        <v>210.9</v>
      </c>
      <c r="H33" s="53">
        <v>1751.9</v>
      </c>
      <c r="I33" s="53">
        <v>903.6</v>
      </c>
      <c r="J33" s="53">
        <v>124692.8</v>
      </c>
    </row>
    <row r="34" ht="22.5" customHeight="1">
      <c r="A34" s="52" t="s">
        <v>127</v>
      </c>
      <c r="B34" s="53">
        <v>1639.4</v>
      </c>
      <c r="C34" s="53">
        <v>977.4</v>
      </c>
      <c r="D34" s="53">
        <v>91.4</v>
      </c>
      <c r="E34" s="53" t="s">
        <v>95</v>
      </c>
      <c r="F34" s="53">
        <v>295.8</v>
      </c>
      <c r="G34" s="53">
        <v>2.7</v>
      </c>
      <c r="H34" s="53">
        <v>20.4</v>
      </c>
      <c r="I34" s="53">
        <v>7.8</v>
      </c>
      <c r="J34" s="53">
        <v>3552.2</v>
      </c>
    </row>
    <row r="35" ht="22.5" customHeight="1">
      <c r="A35" s="52" t="s">
        <v>128</v>
      </c>
      <c r="B35" s="53">
        <v>1348.7</v>
      </c>
      <c r="C35" s="53">
        <v>24139.1</v>
      </c>
      <c r="D35" s="53">
        <v>3780.2</v>
      </c>
      <c r="E35" s="53">
        <v>0.1</v>
      </c>
      <c r="F35" s="53">
        <v>81.5</v>
      </c>
      <c r="G35" s="53">
        <v>443.5</v>
      </c>
      <c r="H35" s="53">
        <v>1233.0</v>
      </c>
      <c r="I35" s="53">
        <v>11.6</v>
      </c>
      <c r="J35" s="53">
        <v>47506.4</v>
      </c>
    </row>
    <row r="36" ht="22.5" customHeight="1">
      <c r="A36" s="52" t="s">
        <v>129</v>
      </c>
      <c r="B36" s="53" t="s">
        <v>130</v>
      </c>
      <c r="C36" s="53" t="s">
        <v>131</v>
      </c>
      <c r="D36" s="53" t="s">
        <v>132</v>
      </c>
      <c r="E36" s="53" t="s">
        <v>133</v>
      </c>
      <c r="F36" s="53" t="s">
        <v>134</v>
      </c>
      <c r="G36" s="53" t="s">
        <v>135</v>
      </c>
      <c r="H36" s="53" t="s">
        <v>136</v>
      </c>
      <c r="I36" s="53" t="s">
        <v>137</v>
      </c>
      <c r="J36" s="53" t="s">
        <v>138</v>
      </c>
    </row>
    <row r="39">
      <c r="A39" s="54" t="s">
        <v>139</v>
      </c>
    </row>
    <row r="40">
      <c r="A40" s="55"/>
      <c r="B40" s="56"/>
      <c r="C40" s="56"/>
      <c r="D40" s="56"/>
      <c r="E40" s="56"/>
      <c r="F40" s="56"/>
      <c r="G40" s="56"/>
      <c r="H40" s="56"/>
      <c r="I40" s="57"/>
      <c r="J40" s="57"/>
      <c r="K40" s="57"/>
    </row>
    <row r="41" ht="22.5" customHeight="1">
      <c r="A41" s="51" t="s">
        <v>84</v>
      </c>
      <c r="B41" s="51" t="s">
        <v>86</v>
      </c>
      <c r="C41" s="51" t="s">
        <v>85</v>
      </c>
      <c r="D41" s="51" t="s">
        <v>87</v>
      </c>
      <c r="E41" s="51" t="s">
        <v>89</v>
      </c>
      <c r="F41" s="51" t="s">
        <v>92</v>
      </c>
      <c r="G41" s="51" t="s">
        <v>88</v>
      </c>
      <c r="H41" s="51" t="s">
        <v>91</v>
      </c>
      <c r="I41" s="51" t="s">
        <v>90</v>
      </c>
      <c r="J41" s="51" t="s">
        <v>129</v>
      </c>
      <c r="K41" s="51" t="s">
        <v>140</v>
      </c>
    </row>
    <row r="42" ht="22.5" customHeight="1">
      <c r="A42" s="52" t="s">
        <v>94</v>
      </c>
      <c r="B42" s="53">
        <v>3.3</v>
      </c>
      <c r="C42" s="53" t="s">
        <v>95</v>
      </c>
      <c r="D42" s="53">
        <v>0.2</v>
      </c>
      <c r="E42" s="53" t="s">
        <v>95</v>
      </c>
      <c r="F42" s="53" t="s">
        <v>95</v>
      </c>
      <c r="G42" s="53" t="s">
        <v>95</v>
      </c>
      <c r="H42" s="53" t="s">
        <v>95</v>
      </c>
      <c r="I42" s="53" t="s">
        <v>95</v>
      </c>
      <c r="J42" s="53">
        <v>131.7</v>
      </c>
      <c r="K42" s="53">
        <v>18.1</v>
      </c>
    </row>
    <row r="43" ht="22.5" customHeight="1">
      <c r="A43" s="52" t="s">
        <v>96</v>
      </c>
      <c r="B43" s="53">
        <v>2571.0</v>
      </c>
      <c r="C43" s="53" t="s">
        <v>95</v>
      </c>
      <c r="D43" s="53">
        <v>2389.0</v>
      </c>
      <c r="E43" s="53">
        <v>394.0</v>
      </c>
      <c r="F43" s="53">
        <v>195.0</v>
      </c>
      <c r="G43" s="53">
        <v>31.0</v>
      </c>
      <c r="H43" s="53">
        <v>1.5</v>
      </c>
      <c r="I43" s="53">
        <v>194.0</v>
      </c>
      <c r="J43" s="53">
        <v>17093.0</v>
      </c>
      <c r="K43" s="53">
        <v>1999.5</v>
      </c>
    </row>
    <row r="44" ht="22.5" customHeight="1">
      <c r="A44" s="52" t="s">
        <v>97</v>
      </c>
      <c r="B44" s="53">
        <v>14.0</v>
      </c>
      <c r="C44" s="53">
        <v>2.8</v>
      </c>
      <c r="D44" s="53">
        <v>20.2</v>
      </c>
      <c r="E44" s="53">
        <v>0.5</v>
      </c>
      <c r="F44" s="53" t="s">
        <v>95</v>
      </c>
      <c r="G44" s="53" t="s">
        <v>95</v>
      </c>
      <c r="H44" s="53" t="s">
        <v>95</v>
      </c>
      <c r="I44" s="53" t="s">
        <v>95</v>
      </c>
      <c r="J44" s="53">
        <v>173.8</v>
      </c>
      <c r="K44" s="53">
        <v>18.5</v>
      </c>
    </row>
    <row r="45" ht="22.5" customHeight="1">
      <c r="A45" s="52" t="s">
        <v>98</v>
      </c>
      <c r="B45" s="53">
        <v>650.58</v>
      </c>
      <c r="C45" s="53">
        <v>8.71</v>
      </c>
      <c r="D45" s="53">
        <v>42.5</v>
      </c>
      <c r="E45" s="53">
        <v>14.12</v>
      </c>
      <c r="F45" s="53">
        <v>9.92</v>
      </c>
      <c r="G45" s="53" t="s">
        <v>95</v>
      </c>
      <c r="H45" s="53">
        <v>172.29</v>
      </c>
      <c r="I45" s="53" t="s">
        <v>95</v>
      </c>
      <c r="J45" s="53">
        <v>2541.0</v>
      </c>
      <c r="K45" s="53">
        <v>321.9</v>
      </c>
    </row>
    <row r="46" ht="22.5" customHeight="1">
      <c r="A46" s="52" t="s">
        <v>99</v>
      </c>
      <c r="B46" s="53">
        <v>1106.7</v>
      </c>
      <c r="C46" s="53">
        <v>2019.2</v>
      </c>
      <c r="D46" s="53">
        <v>1860.6</v>
      </c>
      <c r="E46" s="53">
        <v>570.6</v>
      </c>
      <c r="F46" s="53">
        <v>65.1</v>
      </c>
      <c r="G46" s="53">
        <v>2.3</v>
      </c>
      <c r="H46" s="53">
        <v>87.2</v>
      </c>
      <c r="I46" s="53">
        <v>0.3</v>
      </c>
      <c r="J46" s="53">
        <v>7983.9</v>
      </c>
      <c r="K46" s="53">
        <v>964.4</v>
      </c>
    </row>
    <row r="47" ht="22.5" customHeight="1">
      <c r="A47" s="52" t="s">
        <v>100</v>
      </c>
      <c r="B47" s="53">
        <v>0.1</v>
      </c>
      <c r="C47" s="53">
        <v>0.9</v>
      </c>
      <c r="D47" s="53" t="s">
        <v>95</v>
      </c>
      <c r="E47" s="53" t="s">
        <v>95</v>
      </c>
      <c r="F47" s="53" t="s">
        <v>95</v>
      </c>
      <c r="G47" s="53" t="s">
        <v>95</v>
      </c>
      <c r="H47" s="53" t="s">
        <v>95</v>
      </c>
      <c r="I47" s="53" t="s">
        <v>95</v>
      </c>
      <c r="J47" s="53">
        <v>1.11</v>
      </c>
      <c r="K47" s="53">
        <v>0.1</v>
      </c>
    </row>
    <row r="48" ht="22.5" customHeight="1">
      <c r="A48" s="52" t="s">
        <v>101</v>
      </c>
      <c r="B48" s="53">
        <v>2189.5</v>
      </c>
      <c r="C48" s="53">
        <v>53.6</v>
      </c>
      <c r="D48" s="53">
        <v>86.9</v>
      </c>
      <c r="E48" s="53">
        <v>1.0</v>
      </c>
      <c r="F48" s="53">
        <v>68.4</v>
      </c>
      <c r="G48" s="53">
        <v>0.1</v>
      </c>
      <c r="H48" s="53">
        <v>20.7</v>
      </c>
      <c r="I48" s="53">
        <v>19.2</v>
      </c>
      <c r="J48" s="53">
        <v>2651.8</v>
      </c>
      <c r="K48" s="53">
        <v>353.7</v>
      </c>
    </row>
    <row r="49" ht="22.5" customHeight="1">
      <c r="A49" s="52" t="s">
        <v>102</v>
      </c>
      <c r="B49" s="53">
        <v>7.06</v>
      </c>
      <c r="C49" s="53">
        <v>0.11</v>
      </c>
      <c r="D49" s="53">
        <v>0.45</v>
      </c>
      <c r="E49" s="53">
        <v>0.66</v>
      </c>
      <c r="F49" s="53">
        <v>3.14</v>
      </c>
      <c r="G49" s="53">
        <v>0.3</v>
      </c>
      <c r="H49" s="53" t="s">
        <v>95</v>
      </c>
      <c r="I49" s="53" t="s">
        <v>95</v>
      </c>
      <c r="J49" s="53">
        <v>12.16</v>
      </c>
      <c r="K49" s="53">
        <v>1.6</v>
      </c>
    </row>
    <row r="50" ht="22.5" customHeight="1">
      <c r="A50" s="52" t="s">
        <v>103</v>
      </c>
      <c r="B50" s="53">
        <v>26.78</v>
      </c>
      <c r="C50" s="53" t="s">
        <v>95</v>
      </c>
      <c r="D50" s="53" t="s">
        <v>95</v>
      </c>
      <c r="E50" s="53">
        <v>0.51</v>
      </c>
      <c r="F50" s="53" t="s">
        <v>95</v>
      </c>
      <c r="G50" s="53" t="s">
        <v>95</v>
      </c>
      <c r="H50" s="53" t="s">
        <v>95</v>
      </c>
      <c r="I50" s="53">
        <v>1.3</v>
      </c>
      <c r="J50" s="53">
        <v>231.4</v>
      </c>
      <c r="K50" s="53">
        <v>33.0</v>
      </c>
    </row>
    <row r="51" ht="22.5" customHeight="1">
      <c r="A51" s="52" t="s">
        <v>104</v>
      </c>
      <c r="B51" s="53">
        <v>111.4</v>
      </c>
      <c r="C51" s="53">
        <v>981.0</v>
      </c>
      <c r="D51" s="53">
        <v>116.1</v>
      </c>
      <c r="E51" s="53">
        <v>155.7</v>
      </c>
      <c r="F51" s="53">
        <v>671.3</v>
      </c>
      <c r="G51" s="53">
        <v>460.1</v>
      </c>
      <c r="H51" s="53">
        <v>327.7</v>
      </c>
      <c r="I51" s="53">
        <v>344.0</v>
      </c>
      <c r="J51" s="53">
        <v>21740.3</v>
      </c>
      <c r="K51" s="53">
        <v>2637.8</v>
      </c>
    </row>
    <row r="52" ht="22.5" customHeight="1">
      <c r="A52" s="52" t="s">
        <v>105</v>
      </c>
      <c r="B52" s="53">
        <v>3002.7</v>
      </c>
      <c r="C52" s="53">
        <v>2002.4</v>
      </c>
      <c r="D52" s="53">
        <v>11.5</v>
      </c>
      <c r="E52" s="53">
        <v>92.9</v>
      </c>
      <c r="F52" s="53">
        <v>18.5</v>
      </c>
      <c r="G52" s="53">
        <v>383.3</v>
      </c>
      <c r="H52" s="53">
        <v>759.2</v>
      </c>
      <c r="I52" s="53">
        <v>1.6</v>
      </c>
      <c r="J52" s="53">
        <v>10907.5</v>
      </c>
      <c r="K52" s="53">
        <v>1353.3</v>
      </c>
    </row>
    <row r="53" ht="22.5" customHeight="1">
      <c r="A53" s="52" t="s">
        <v>106</v>
      </c>
      <c r="B53" s="53">
        <v>28.3</v>
      </c>
      <c r="C53" s="53">
        <v>184.5</v>
      </c>
      <c r="D53" s="53">
        <v>291.8</v>
      </c>
      <c r="E53" s="53">
        <v>0.5</v>
      </c>
      <c r="F53" s="53" t="s">
        <v>95</v>
      </c>
      <c r="G53" s="53" t="s">
        <v>95</v>
      </c>
      <c r="H53" s="53">
        <v>3.2</v>
      </c>
      <c r="I53" s="53" t="s">
        <v>95</v>
      </c>
      <c r="J53" s="53">
        <v>572.2</v>
      </c>
      <c r="K53" s="53">
        <v>69.7</v>
      </c>
    </row>
    <row r="54" ht="22.5" customHeight="1">
      <c r="A54" s="52" t="s">
        <v>107</v>
      </c>
      <c r="B54" s="53">
        <v>147.2</v>
      </c>
      <c r="C54" s="53">
        <v>208.0</v>
      </c>
      <c r="D54" s="53">
        <v>244.2</v>
      </c>
      <c r="E54" s="53" t="s">
        <v>95</v>
      </c>
      <c r="F54" s="53" t="s">
        <v>95</v>
      </c>
      <c r="G54" s="53">
        <v>3.1</v>
      </c>
      <c r="H54" s="53">
        <v>28.1</v>
      </c>
      <c r="I54" s="53" t="s">
        <v>95</v>
      </c>
      <c r="J54" s="53">
        <v>652.3</v>
      </c>
      <c r="K54" s="53">
        <v>82.8</v>
      </c>
    </row>
    <row r="55" ht="22.5" customHeight="1">
      <c r="A55" s="52" t="s">
        <v>108</v>
      </c>
      <c r="B55" s="53">
        <v>347.9</v>
      </c>
      <c r="C55" s="53">
        <v>68.1</v>
      </c>
      <c r="D55" s="53">
        <v>346.5</v>
      </c>
      <c r="E55" s="53" t="s">
        <v>95</v>
      </c>
      <c r="F55" s="53">
        <v>240.3</v>
      </c>
      <c r="G55" s="53" t="s">
        <v>95</v>
      </c>
      <c r="H55" s="53">
        <v>47.7</v>
      </c>
      <c r="I55" s="53" t="s">
        <v>95</v>
      </c>
      <c r="J55" s="53">
        <v>1201.8</v>
      </c>
      <c r="K55" s="53">
        <v>146.3</v>
      </c>
    </row>
    <row r="56" ht="22.5" customHeight="1">
      <c r="A56" s="52" t="s">
        <v>109</v>
      </c>
      <c r="B56" s="53">
        <v>750.2</v>
      </c>
      <c r="C56" s="53">
        <v>62.3</v>
      </c>
      <c r="D56" s="53">
        <v>1876.2</v>
      </c>
      <c r="E56" s="53">
        <v>1524.5</v>
      </c>
      <c r="F56" s="53">
        <v>1498.4</v>
      </c>
      <c r="G56" s="53">
        <v>93.6</v>
      </c>
      <c r="H56" s="53">
        <v>0.5</v>
      </c>
      <c r="I56" s="53">
        <v>222.3</v>
      </c>
      <c r="J56" s="53">
        <v>14048.5</v>
      </c>
      <c r="K56" s="53">
        <v>1793.9</v>
      </c>
    </row>
    <row r="57" ht="22.5" customHeight="1">
      <c r="A57" s="52" t="s">
        <v>110</v>
      </c>
      <c r="B57" s="53">
        <v>175.9</v>
      </c>
      <c r="C57" s="53" t="s">
        <v>95</v>
      </c>
      <c r="D57" s="53" t="s">
        <v>95</v>
      </c>
      <c r="E57" s="53">
        <v>0.1</v>
      </c>
      <c r="F57" s="53">
        <v>2.7</v>
      </c>
      <c r="G57" s="53" t="s">
        <v>95</v>
      </c>
      <c r="H57" s="53" t="s">
        <v>95</v>
      </c>
      <c r="I57" s="53">
        <v>0.2</v>
      </c>
      <c r="J57" s="53">
        <v>6042.1</v>
      </c>
      <c r="K57" s="53">
        <v>778.4</v>
      </c>
    </row>
    <row r="58" ht="22.5" customHeight="1">
      <c r="A58" s="52" t="s">
        <v>111</v>
      </c>
      <c r="B58" s="53">
        <v>1940.8</v>
      </c>
      <c r="C58" s="53">
        <v>6311.1</v>
      </c>
      <c r="D58" s="53">
        <v>2152.3</v>
      </c>
      <c r="E58" s="53">
        <v>46.9</v>
      </c>
      <c r="F58" s="53">
        <v>909.2</v>
      </c>
      <c r="G58" s="53">
        <v>249.7</v>
      </c>
      <c r="H58" s="53">
        <v>584.3</v>
      </c>
      <c r="I58" s="53">
        <v>151.3</v>
      </c>
      <c r="J58" s="53">
        <v>19928.3</v>
      </c>
      <c r="K58" s="53">
        <v>2516.4</v>
      </c>
    </row>
    <row r="59" ht="22.5" customHeight="1">
      <c r="A59" s="52" t="s">
        <v>112</v>
      </c>
      <c r="B59" s="53">
        <v>43.1</v>
      </c>
      <c r="C59" s="53">
        <v>609.6</v>
      </c>
      <c r="D59" s="53">
        <v>38.9</v>
      </c>
      <c r="E59" s="53">
        <v>858.4</v>
      </c>
      <c r="F59" s="53" t="s">
        <v>95</v>
      </c>
      <c r="G59" s="53">
        <v>299.0</v>
      </c>
      <c r="H59" s="53">
        <v>3.0</v>
      </c>
      <c r="I59" s="53">
        <v>108.4</v>
      </c>
      <c r="J59" s="53">
        <v>21493.8</v>
      </c>
      <c r="K59" s="53">
        <v>2629.5</v>
      </c>
    </row>
    <row r="60" ht="22.5" customHeight="1">
      <c r="A60" s="52" t="s">
        <v>113</v>
      </c>
      <c r="B60" s="53">
        <v>352.1</v>
      </c>
      <c r="C60" s="53">
        <v>2.0</v>
      </c>
      <c r="D60" s="53">
        <v>27.1</v>
      </c>
      <c r="E60" s="53">
        <v>2.3</v>
      </c>
      <c r="F60" s="53">
        <v>1.0</v>
      </c>
      <c r="G60" s="53" t="s">
        <v>95</v>
      </c>
      <c r="H60" s="53">
        <v>21.2</v>
      </c>
      <c r="I60" s="53">
        <v>1.3</v>
      </c>
      <c r="J60" s="53">
        <v>484.9</v>
      </c>
      <c r="K60" s="53">
        <v>62.3</v>
      </c>
    </row>
    <row r="61" ht="22.5" customHeight="1">
      <c r="A61" s="52" t="s">
        <v>114</v>
      </c>
      <c r="B61" s="53">
        <v>25.7</v>
      </c>
      <c r="C61" s="53">
        <v>0.3</v>
      </c>
      <c r="D61" s="53">
        <v>19.1</v>
      </c>
      <c r="E61" s="53" t="s">
        <v>95</v>
      </c>
      <c r="F61" s="53">
        <v>3.0</v>
      </c>
      <c r="G61" s="53" t="s">
        <v>95</v>
      </c>
      <c r="H61" s="53">
        <v>8.4</v>
      </c>
      <c r="I61" s="53" t="s">
        <v>95</v>
      </c>
      <c r="J61" s="53">
        <v>561.3</v>
      </c>
      <c r="K61" s="53">
        <v>68.5</v>
      </c>
    </row>
    <row r="62" ht="22.5" customHeight="1">
      <c r="A62" s="52" t="s">
        <v>115</v>
      </c>
      <c r="B62" s="53">
        <v>11.3</v>
      </c>
      <c r="C62" s="53" t="s">
        <v>95</v>
      </c>
      <c r="D62" s="53">
        <v>4.4</v>
      </c>
      <c r="E62" s="53">
        <v>0.6</v>
      </c>
      <c r="F62" s="53">
        <v>0.6</v>
      </c>
      <c r="G62" s="53" t="s">
        <v>95</v>
      </c>
      <c r="H62" s="53">
        <v>0.4</v>
      </c>
      <c r="I62" s="53" t="s">
        <v>95</v>
      </c>
      <c r="J62" s="53">
        <v>22.9</v>
      </c>
      <c r="K62" s="53">
        <v>2.9</v>
      </c>
    </row>
    <row r="63" ht="22.5" customHeight="1">
      <c r="A63" s="52" t="s">
        <v>117</v>
      </c>
      <c r="B63" s="53">
        <v>203.5</v>
      </c>
      <c r="C63" s="53">
        <v>1.8</v>
      </c>
      <c r="D63" s="53">
        <v>63.9</v>
      </c>
      <c r="E63" s="53">
        <v>5.3</v>
      </c>
      <c r="F63" s="53">
        <v>9.4</v>
      </c>
      <c r="G63" s="53">
        <v>0.3</v>
      </c>
      <c r="H63" s="53">
        <v>24.5</v>
      </c>
      <c r="I63" s="53">
        <v>0.5</v>
      </c>
      <c r="J63" s="53">
        <v>438.3</v>
      </c>
      <c r="K63" s="53">
        <v>54.1</v>
      </c>
    </row>
    <row r="64" ht="22.5" customHeight="1">
      <c r="A64" s="52" t="s">
        <v>118</v>
      </c>
      <c r="B64" s="53">
        <v>2007.3</v>
      </c>
      <c r="C64" s="53">
        <v>0.1</v>
      </c>
      <c r="D64" s="53">
        <v>66.5</v>
      </c>
      <c r="E64" s="53">
        <v>0.5</v>
      </c>
      <c r="F64" s="53" t="s">
        <v>95</v>
      </c>
      <c r="G64" s="53" t="s">
        <v>95</v>
      </c>
      <c r="H64" s="53">
        <v>2.3</v>
      </c>
      <c r="I64" s="53">
        <v>22.9</v>
      </c>
      <c r="J64" s="53">
        <v>2227.6</v>
      </c>
      <c r="K64" s="53">
        <v>298.7</v>
      </c>
    </row>
    <row r="65" ht="22.5" customHeight="1">
      <c r="A65" s="52" t="s">
        <v>119</v>
      </c>
      <c r="B65" s="53">
        <v>12.9</v>
      </c>
      <c r="C65" s="53" t="s">
        <v>95</v>
      </c>
      <c r="D65" s="53" t="s">
        <v>95</v>
      </c>
      <c r="E65" s="53">
        <v>2.5</v>
      </c>
      <c r="F65" s="53">
        <v>0.7</v>
      </c>
      <c r="G65" s="53" t="s">
        <v>95</v>
      </c>
      <c r="H65" s="53" t="s">
        <v>95</v>
      </c>
      <c r="I65" s="53">
        <v>0.4</v>
      </c>
      <c r="J65" s="53">
        <v>37.8</v>
      </c>
      <c r="K65" s="53">
        <v>5.0</v>
      </c>
    </row>
    <row r="66" ht="22.5" customHeight="1">
      <c r="A66" s="52" t="s">
        <v>120</v>
      </c>
      <c r="B66" s="53">
        <v>18786.3</v>
      </c>
      <c r="C66" s="53">
        <v>3092.6</v>
      </c>
      <c r="D66" s="53">
        <v>202.6</v>
      </c>
      <c r="E66" s="53">
        <v>91.5</v>
      </c>
      <c r="F66" s="53">
        <v>8.4</v>
      </c>
      <c r="G66" s="53" t="s">
        <v>95</v>
      </c>
      <c r="H66" s="53">
        <v>40.7</v>
      </c>
      <c r="I66" s="53">
        <v>1.1</v>
      </c>
      <c r="J66" s="53">
        <v>22251.0</v>
      </c>
      <c r="K66" s="53">
        <v>3022.1</v>
      </c>
    </row>
    <row r="67" ht="22.5" customHeight="1">
      <c r="A67" s="52" t="s">
        <v>121</v>
      </c>
      <c r="B67" s="53">
        <v>108.2</v>
      </c>
      <c r="C67" s="53">
        <v>4121.8</v>
      </c>
      <c r="D67" s="53">
        <v>25.3</v>
      </c>
      <c r="E67" s="53">
        <v>6.4</v>
      </c>
      <c r="F67" s="53">
        <v>16.9</v>
      </c>
      <c r="G67" s="53">
        <v>1709.3</v>
      </c>
      <c r="H67" s="53" t="s">
        <v>95</v>
      </c>
      <c r="I67" s="53">
        <v>239.1</v>
      </c>
      <c r="J67" s="53">
        <v>10211.0</v>
      </c>
      <c r="K67" s="53">
        <v>1299.5</v>
      </c>
    </row>
    <row r="68" ht="22.5" customHeight="1">
      <c r="A68" s="52" t="s">
        <v>122</v>
      </c>
      <c r="B68" s="53">
        <v>0.2</v>
      </c>
      <c r="C68" s="53">
        <v>0.1</v>
      </c>
      <c r="D68" s="53">
        <v>31.5</v>
      </c>
      <c r="E68" s="53" t="s">
        <v>95</v>
      </c>
      <c r="F68" s="53" t="s">
        <v>95</v>
      </c>
      <c r="G68" s="53" t="s">
        <v>95</v>
      </c>
      <c r="H68" s="53" t="s">
        <v>95</v>
      </c>
      <c r="I68" s="53" t="s">
        <v>95</v>
      </c>
      <c r="J68" s="53">
        <v>40.0</v>
      </c>
      <c r="K68" s="53">
        <v>4.7</v>
      </c>
    </row>
    <row r="69" ht="22.5" customHeight="1">
      <c r="A69" s="52" t="s">
        <v>123</v>
      </c>
      <c r="B69" s="53">
        <v>3086.2</v>
      </c>
      <c r="C69" s="53" t="s">
        <v>95</v>
      </c>
      <c r="D69" s="53">
        <v>2124.0</v>
      </c>
      <c r="E69" s="53">
        <v>256.9</v>
      </c>
      <c r="F69" s="53">
        <v>178.0</v>
      </c>
      <c r="G69" s="53">
        <v>134.6</v>
      </c>
      <c r="H69" s="53">
        <v>0.1</v>
      </c>
      <c r="I69" s="53" t="s">
        <v>95</v>
      </c>
      <c r="J69" s="53">
        <v>12217.4</v>
      </c>
      <c r="K69" s="53">
        <v>1560.1</v>
      </c>
    </row>
    <row r="70" ht="22.5" customHeight="1">
      <c r="A70" s="52" t="s">
        <v>124</v>
      </c>
      <c r="B70" s="53">
        <v>1368.7</v>
      </c>
      <c r="C70" s="53">
        <v>4.8</v>
      </c>
      <c r="D70" s="53">
        <v>2350.4</v>
      </c>
      <c r="E70" s="53">
        <v>45.9</v>
      </c>
      <c r="F70" s="53">
        <v>202.0</v>
      </c>
      <c r="G70" s="53">
        <v>9.7</v>
      </c>
      <c r="H70" s="53">
        <v>2.5</v>
      </c>
      <c r="I70" s="53">
        <v>103.4</v>
      </c>
      <c r="J70" s="53">
        <v>13761.6</v>
      </c>
      <c r="K70" s="53">
        <v>1678.4</v>
      </c>
    </row>
    <row r="71" ht="22.5" customHeight="1">
      <c r="A71" s="52" t="s">
        <v>125</v>
      </c>
      <c r="B71" s="53">
        <v>228.8</v>
      </c>
      <c r="C71" s="53">
        <v>0.1</v>
      </c>
      <c r="D71" s="53">
        <v>4.3</v>
      </c>
      <c r="E71" s="53">
        <v>0.5</v>
      </c>
      <c r="F71" s="53">
        <v>4.8</v>
      </c>
      <c r="G71" s="53" t="s">
        <v>95</v>
      </c>
      <c r="H71" s="53">
        <v>3.7</v>
      </c>
      <c r="I71" s="53">
        <v>0.5</v>
      </c>
      <c r="J71" s="53">
        <v>254.9</v>
      </c>
      <c r="K71" s="53">
        <v>34.3</v>
      </c>
    </row>
    <row r="72" ht="22.5" customHeight="1">
      <c r="A72" s="52" t="s">
        <v>126</v>
      </c>
      <c r="B72" s="53">
        <v>1035.2</v>
      </c>
      <c r="C72" s="53">
        <v>13038.8</v>
      </c>
      <c r="D72" s="53">
        <v>35.7</v>
      </c>
      <c r="E72" s="53">
        <v>2211.8</v>
      </c>
      <c r="F72" s="53">
        <v>778.7</v>
      </c>
      <c r="G72" s="53">
        <v>465.7</v>
      </c>
      <c r="H72" s="53">
        <v>875.9</v>
      </c>
      <c r="I72" s="53">
        <v>42.2</v>
      </c>
      <c r="J72" s="53">
        <v>21600.7</v>
      </c>
      <c r="K72" s="53">
        <v>2800.3</v>
      </c>
    </row>
    <row r="73" ht="22.5" customHeight="1">
      <c r="A73" s="52" t="s">
        <v>127</v>
      </c>
      <c r="B73" s="53">
        <v>158.3</v>
      </c>
      <c r="C73" s="53">
        <v>327.9</v>
      </c>
      <c r="D73" s="53">
        <v>18.3</v>
      </c>
      <c r="E73" s="53">
        <v>73.9</v>
      </c>
      <c r="F73" s="53">
        <v>5.5</v>
      </c>
      <c r="G73" s="53" t="s">
        <v>95</v>
      </c>
      <c r="H73" s="53">
        <v>10.2</v>
      </c>
      <c r="I73" s="53">
        <v>0.5</v>
      </c>
      <c r="J73" s="53">
        <v>723.3</v>
      </c>
      <c r="K73" s="53">
        <v>93.3</v>
      </c>
    </row>
    <row r="74" ht="22.5" customHeight="1">
      <c r="A74" s="52" t="s">
        <v>128</v>
      </c>
      <c r="B74" s="53">
        <v>1225.2</v>
      </c>
      <c r="C74" s="53">
        <v>269.7</v>
      </c>
      <c r="D74" s="53">
        <v>756.0</v>
      </c>
      <c r="E74" s="53">
        <v>20.4</v>
      </c>
      <c r="F74" s="53">
        <v>8.1</v>
      </c>
      <c r="G74" s="53" t="s">
        <v>95</v>
      </c>
      <c r="H74" s="53">
        <v>616.5</v>
      </c>
      <c r="I74" s="53">
        <v>88.7</v>
      </c>
      <c r="J74" s="53">
        <v>16277.3</v>
      </c>
      <c r="K74" s="53">
        <v>1741.7</v>
      </c>
    </row>
    <row r="75" ht="22.5" customHeight="1">
      <c r="A75" s="52" t="s">
        <v>129</v>
      </c>
      <c r="B75" s="53" t="s">
        <v>141</v>
      </c>
      <c r="C75" s="53" t="s">
        <v>142</v>
      </c>
      <c r="D75" s="53" t="s">
        <v>143</v>
      </c>
      <c r="E75" s="53" t="s">
        <v>144</v>
      </c>
      <c r="F75" s="53" t="s">
        <v>145</v>
      </c>
      <c r="G75" s="53" t="s">
        <v>146</v>
      </c>
      <c r="H75" s="53" t="s">
        <v>147</v>
      </c>
      <c r="I75" s="53" t="s">
        <v>148</v>
      </c>
      <c r="J75" s="53" t="s">
        <v>149</v>
      </c>
      <c r="K75" s="53" t="s">
        <v>150</v>
      </c>
    </row>
  </sheetData>
  <mergeCells count="2">
    <mergeCell ref="A1:J1"/>
    <mergeCell ref="A39:K39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5.13"/>
  </cols>
  <sheetData>
    <row r="1">
      <c r="A1" s="48" t="s">
        <v>151</v>
      </c>
      <c r="B1" s="48" t="s">
        <v>152</v>
      </c>
      <c r="C1" s="48" t="s">
        <v>153</v>
      </c>
    </row>
    <row r="2">
      <c r="A2" s="58" t="s">
        <v>94</v>
      </c>
      <c r="B2" s="58" t="s">
        <v>85</v>
      </c>
      <c r="C2" s="59"/>
      <c r="D2" s="58"/>
      <c r="E2" s="58"/>
      <c r="F2" s="58"/>
      <c r="G2" s="58"/>
      <c r="H2" s="58"/>
      <c r="I2" s="58"/>
      <c r="J2" s="58"/>
    </row>
    <row r="3">
      <c r="A3" s="58" t="s">
        <v>94</v>
      </c>
      <c r="B3" s="58" t="s">
        <v>86</v>
      </c>
      <c r="C3" s="59">
        <v>19.7</v>
      </c>
    </row>
    <row r="4">
      <c r="A4" s="58" t="s">
        <v>94</v>
      </c>
      <c r="B4" s="58" t="s">
        <v>87</v>
      </c>
      <c r="C4" s="59">
        <v>1.0</v>
      </c>
    </row>
    <row r="5">
      <c r="A5" s="58" t="s">
        <v>94</v>
      </c>
      <c r="B5" s="58" t="s">
        <v>88</v>
      </c>
      <c r="C5" s="59"/>
    </row>
    <row r="6">
      <c r="A6" s="58" t="s">
        <v>94</v>
      </c>
      <c r="B6" s="58" t="s">
        <v>89</v>
      </c>
      <c r="C6" s="59">
        <v>0.1</v>
      </c>
    </row>
    <row r="7">
      <c r="A7" s="58" t="s">
        <v>94</v>
      </c>
      <c r="B7" s="58" t="s">
        <v>90</v>
      </c>
      <c r="C7" s="59"/>
    </row>
    <row r="8">
      <c r="A8" s="58" t="s">
        <v>94</v>
      </c>
      <c r="B8" s="58" t="s">
        <v>91</v>
      </c>
      <c r="C8" s="59"/>
    </row>
    <row r="9">
      <c r="A9" s="58" t="s">
        <v>94</v>
      </c>
      <c r="B9" s="58" t="s">
        <v>92</v>
      </c>
      <c r="C9" s="59"/>
    </row>
    <row r="10">
      <c r="A10" s="58" t="s">
        <v>96</v>
      </c>
      <c r="B10" s="58" t="s">
        <v>85</v>
      </c>
      <c r="C10" s="59">
        <v>0.1</v>
      </c>
      <c r="D10" s="58"/>
      <c r="E10" s="58"/>
      <c r="F10" s="58"/>
      <c r="G10" s="58"/>
      <c r="H10" s="58"/>
      <c r="I10" s="58"/>
      <c r="J10" s="58"/>
    </row>
    <row r="11">
      <c r="A11" s="58" t="s">
        <v>96</v>
      </c>
      <c r="B11" s="58" t="s">
        <v>86</v>
      </c>
      <c r="C11" s="59">
        <v>14407.0</v>
      </c>
    </row>
    <row r="12">
      <c r="A12" s="58" t="s">
        <v>96</v>
      </c>
      <c r="B12" s="58" t="s">
        <v>87</v>
      </c>
      <c r="C12" s="59">
        <v>4248.0</v>
      </c>
    </row>
    <row r="13">
      <c r="A13" s="58" t="s">
        <v>96</v>
      </c>
      <c r="B13" s="58" t="s">
        <v>88</v>
      </c>
      <c r="C13" s="59">
        <v>164.0</v>
      </c>
    </row>
    <row r="14">
      <c r="A14" s="58" t="s">
        <v>96</v>
      </c>
      <c r="B14" s="58" t="s">
        <v>89</v>
      </c>
      <c r="C14" s="59">
        <v>394.0</v>
      </c>
    </row>
    <row r="15">
      <c r="A15" s="58" t="s">
        <v>96</v>
      </c>
      <c r="B15" s="58" t="s">
        <v>90</v>
      </c>
      <c r="C15" s="59">
        <v>1619.0</v>
      </c>
    </row>
    <row r="16">
      <c r="A16" s="58" t="s">
        <v>96</v>
      </c>
      <c r="B16" s="58" t="s">
        <v>91</v>
      </c>
      <c r="C16" s="59">
        <v>3.0</v>
      </c>
    </row>
    <row r="17">
      <c r="A17" s="58" t="s">
        <v>96</v>
      </c>
      <c r="B17" s="58" t="s">
        <v>92</v>
      </c>
      <c r="C17" s="59">
        <v>278.0</v>
      </c>
    </row>
    <row r="18">
      <c r="A18" s="58" t="s">
        <v>97</v>
      </c>
      <c r="B18" s="58" t="s">
        <v>85</v>
      </c>
      <c r="C18" s="59">
        <v>14.2</v>
      </c>
    </row>
    <row r="19">
      <c r="A19" s="58" t="s">
        <v>97</v>
      </c>
      <c r="B19" s="58" t="s">
        <v>86</v>
      </c>
      <c r="C19" s="59">
        <v>322.0</v>
      </c>
    </row>
    <row r="20">
      <c r="A20" s="58" t="s">
        <v>97</v>
      </c>
      <c r="B20" s="58" t="s">
        <v>87</v>
      </c>
      <c r="C20" s="59"/>
    </row>
    <row r="21">
      <c r="A21" s="58" t="s">
        <v>97</v>
      </c>
      <c r="B21" s="58" t="s">
        <v>88</v>
      </c>
      <c r="C21" s="59"/>
    </row>
    <row r="22">
      <c r="A22" s="58" t="s">
        <v>97</v>
      </c>
      <c r="B22" s="58" t="s">
        <v>89</v>
      </c>
      <c r="C22" s="59">
        <v>2.1</v>
      </c>
    </row>
    <row r="23">
      <c r="A23" s="58" t="s">
        <v>97</v>
      </c>
      <c r="B23" s="58" t="s">
        <v>90</v>
      </c>
      <c r="C23" s="59"/>
    </row>
    <row r="24">
      <c r="A24" s="58" t="s">
        <v>97</v>
      </c>
      <c r="B24" s="58" t="s">
        <v>91</v>
      </c>
      <c r="C24" s="59"/>
    </row>
    <row r="25">
      <c r="A25" s="58" t="s">
        <v>97</v>
      </c>
      <c r="B25" s="58" t="s">
        <v>92</v>
      </c>
      <c r="C25" s="59"/>
    </row>
    <row r="26">
      <c r="A26" s="58" t="s">
        <v>98</v>
      </c>
      <c r="B26" s="58" t="s">
        <v>85</v>
      </c>
      <c r="C26" s="59">
        <v>43.6</v>
      </c>
    </row>
    <row r="27">
      <c r="A27" s="58" t="s">
        <v>98</v>
      </c>
      <c r="B27" s="58" t="s">
        <v>86</v>
      </c>
      <c r="C27" s="59">
        <v>7768.0</v>
      </c>
    </row>
    <row r="28">
      <c r="A28" s="58" t="s">
        <v>98</v>
      </c>
      <c r="B28" s="58" t="s">
        <v>87</v>
      </c>
      <c r="C28" s="59">
        <v>212.5</v>
      </c>
    </row>
    <row r="29">
      <c r="A29" s="58" t="s">
        <v>98</v>
      </c>
      <c r="B29" s="58" t="s">
        <v>88</v>
      </c>
      <c r="C29" s="59"/>
    </row>
    <row r="30">
      <c r="A30" s="58" t="s">
        <v>98</v>
      </c>
      <c r="B30" s="58" t="s">
        <v>89</v>
      </c>
      <c r="C30" s="59">
        <v>56.5</v>
      </c>
    </row>
    <row r="31">
      <c r="A31" s="58" t="s">
        <v>98</v>
      </c>
      <c r="B31" s="58" t="s">
        <v>90</v>
      </c>
      <c r="C31" s="59"/>
    </row>
    <row r="32">
      <c r="A32" s="58" t="s">
        <v>98</v>
      </c>
      <c r="B32" s="58" t="s">
        <v>91</v>
      </c>
      <c r="C32" s="59">
        <v>344.6</v>
      </c>
    </row>
    <row r="33">
      <c r="A33" s="58" t="s">
        <v>98</v>
      </c>
      <c r="B33" s="58" t="s">
        <v>92</v>
      </c>
      <c r="C33" s="59">
        <v>14.2</v>
      </c>
    </row>
    <row r="34">
      <c r="A34" s="58" t="s">
        <v>99</v>
      </c>
      <c r="B34" s="58" t="s">
        <v>85</v>
      </c>
      <c r="C34" s="59">
        <v>10096.0</v>
      </c>
    </row>
    <row r="35">
      <c r="A35" s="58" t="s">
        <v>99</v>
      </c>
      <c r="B35" s="58" t="s">
        <v>86</v>
      </c>
      <c r="C35" s="59">
        <v>11571.6</v>
      </c>
    </row>
    <row r="36">
      <c r="A36" s="58" t="s">
        <v>99</v>
      </c>
      <c r="B36" s="58" t="s">
        <v>87</v>
      </c>
      <c r="C36" s="59">
        <v>7289.0</v>
      </c>
    </row>
    <row r="37">
      <c r="A37" s="58" t="s">
        <v>99</v>
      </c>
      <c r="B37" s="58" t="s">
        <v>88</v>
      </c>
      <c r="C37" s="59">
        <v>12.0</v>
      </c>
    </row>
    <row r="38">
      <c r="A38" s="58" t="s">
        <v>99</v>
      </c>
      <c r="B38" s="58" t="s">
        <v>89</v>
      </c>
      <c r="C38" s="59">
        <v>646.6</v>
      </c>
    </row>
    <row r="39">
      <c r="A39" s="58" t="s">
        <v>99</v>
      </c>
      <c r="B39" s="58" t="s">
        <v>90</v>
      </c>
      <c r="C39" s="59">
        <v>1.7</v>
      </c>
    </row>
    <row r="40">
      <c r="A40" s="58" t="s">
        <v>99</v>
      </c>
      <c r="B40" s="58" t="s">
        <v>91</v>
      </c>
      <c r="C40" s="59">
        <v>174.0</v>
      </c>
    </row>
    <row r="41">
      <c r="A41" s="58" t="s">
        <v>99</v>
      </c>
      <c r="B41" s="58" t="s">
        <v>92</v>
      </c>
      <c r="C41" s="59">
        <v>93.0</v>
      </c>
    </row>
    <row r="42">
      <c r="A42" s="58" t="s">
        <v>100</v>
      </c>
      <c r="B42" s="58" t="s">
        <v>85</v>
      </c>
      <c r="C42" s="59">
        <v>4.6</v>
      </c>
    </row>
    <row r="43">
      <c r="A43" s="58" t="s">
        <v>100</v>
      </c>
      <c r="B43" s="58" t="s">
        <v>86</v>
      </c>
      <c r="C43" s="59">
        <v>0.1</v>
      </c>
    </row>
    <row r="44">
      <c r="A44" s="58" t="s">
        <v>100</v>
      </c>
      <c r="B44" s="58" t="s">
        <v>87</v>
      </c>
      <c r="C44" s="59">
        <v>0.1</v>
      </c>
    </row>
    <row r="45">
      <c r="A45" s="58" t="s">
        <v>100</v>
      </c>
      <c r="B45" s="58" t="s">
        <v>88</v>
      </c>
      <c r="C45" s="59"/>
    </row>
    <row r="46">
      <c r="A46" s="58" t="s">
        <v>100</v>
      </c>
      <c r="B46" s="58" t="s">
        <v>89</v>
      </c>
      <c r="C46" s="59"/>
    </row>
    <row r="47">
      <c r="A47" s="58" t="s">
        <v>100</v>
      </c>
      <c r="B47" s="58" t="s">
        <v>90</v>
      </c>
      <c r="C47" s="59"/>
    </row>
    <row r="48">
      <c r="A48" s="58" t="s">
        <v>100</v>
      </c>
      <c r="B48" s="58" t="s">
        <v>91</v>
      </c>
      <c r="C48" s="59"/>
    </row>
    <row r="49">
      <c r="A49" s="58" t="s">
        <v>100</v>
      </c>
      <c r="B49" s="58" t="s">
        <v>92</v>
      </c>
      <c r="C49" s="59"/>
    </row>
    <row r="50">
      <c r="A50" s="48" t="s">
        <v>101</v>
      </c>
      <c r="B50" s="58" t="s">
        <v>85</v>
      </c>
      <c r="C50" s="59">
        <v>268.0</v>
      </c>
    </row>
    <row r="51">
      <c r="A51" s="48" t="s">
        <v>101</v>
      </c>
      <c r="B51" s="58" t="s">
        <v>86</v>
      </c>
      <c r="C51" s="59">
        <v>10962.0</v>
      </c>
    </row>
    <row r="52">
      <c r="A52" s="48" t="s">
        <v>101</v>
      </c>
      <c r="B52" s="58" t="s">
        <v>87</v>
      </c>
      <c r="C52" s="59">
        <v>599.5</v>
      </c>
    </row>
    <row r="53">
      <c r="A53" s="48" t="s">
        <v>101</v>
      </c>
      <c r="B53" s="58" t="s">
        <v>88</v>
      </c>
      <c r="C53" s="59">
        <v>0.2</v>
      </c>
    </row>
    <row r="54">
      <c r="A54" s="48" t="s">
        <v>101</v>
      </c>
      <c r="B54" s="58" t="s">
        <v>89</v>
      </c>
      <c r="C54" s="59">
        <v>3.9</v>
      </c>
    </row>
    <row r="55">
      <c r="A55" s="48" t="s">
        <v>101</v>
      </c>
      <c r="B55" s="58" t="s">
        <v>90</v>
      </c>
      <c r="C55" s="59">
        <v>95.8</v>
      </c>
    </row>
    <row r="56">
      <c r="A56" s="48" t="s">
        <v>101</v>
      </c>
      <c r="B56" s="58" t="s">
        <v>91</v>
      </c>
      <c r="C56" s="59">
        <v>41.4</v>
      </c>
    </row>
    <row r="57">
      <c r="A57" s="48" t="s">
        <v>101</v>
      </c>
      <c r="B57" s="58" t="s">
        <v>92</v>
      </c>
      <c r="C57" s="59">
        <v>97.8</v>
      </c>
    </row>
    <row r="58">
      <c r="A58" s="58" t="s">
        <v>102</v>
      </c>
      <c r="B58" s="58" t="s">
        <v>85</v>
      </c>
      <c r="C58" s="59">
        <v>0.6</v>
      </c>
    </row>
    <row r="59">
      <c r="A59" s="58" t="s">
        <v>102</v>
      </c>
      <c r="B59" s="58" t="s">
        <v>86</v>
      </c>
      <c r="C59" s="59">
        <v>41.5</v>
      </c>
    </row>
    <row r="60">
      <c r="A60" s="58" t="s">
        <v>102</v>
      </c>
      <c r="B60" s="58" t="s">
        <v>87</v>
      </c>
      <c r="C60" s="59">
        <v>0.2</v>
      </c>
    </row>
    <row r="61">
      <c r="A61" s="58" t="s">
        <v>102</v>
      </c>
      <c r="B61" s="58" t="s">
        <v>88</v>
      </c>
      <c r="C61" s="59">
        <v>1.6</v>
      </c>
    </row>
    <row r="62">
      <c r="A62" s="58" t="s">
        <v>102</v>
      </c>
      <c r="B62" s="58" t="s">
        <v>89</v>
      </c>
      <c r="C62" s="59">
        <v>2.6</v>
      </c>
    </row>
    <row r="63">
      <c r="A63" s="58" t="s">
        <v>102</v>
      </c>
      <c r="B63" s="58" t="s">
        <v>90</v>
      </c>
      <c r="C63" s="59"/>
    </row>
    <row r="64">
      <c r="A64" s="58" t="s">
        <v>102</v>
      </c>
      <c r="B64" s="58" t="s">
        <v>91</v>
      </c>
      <c r="C64" s="59"/>
    </row>
    <row r="65">
      <c r="A65" s="58" t="s">
        <v>102</v>
      </c>
      <c r="B65" s="58" t="s">
        <v>92</v>
      </c>
      <c r="C65" s="59">
        <v>4.5</v>
      </c>
    </row>
    <row r="66">
      <c r="A66" s="58" t="s">
        <v>103</v>
      </c>
      <c r="B66" s="58" t="s">
        <v>85</v>
      </c>
      <c r="C66" s="59"/>
    </row>
    <row r="67">
      <c r="A67" s="58" t="s">
        <v>103</v>
      </c>
      <c r="B67" s="58" t="s">
        <v>86</v>
      </c>
      <c r="C67" s="59">
        <v>157.5</v>
      </c>
    </row>
    <row r="68">
      <c r="A68" s="58" t="s">
        <v>103</v>
      </c>
      <c r="B68" s="58" t="s">
        <v>87</v>
      </c>
      <c r="C68" s="59"/>
    </row>
    <row r="69">
      <c r="A69" s="58" t="s">
        <v>103</v>
      </c>
      <c r="B69" s="58" t="s">
        <v>88</v>
      </c>
      <c r="C69" s="59"/>
    </row>
    <row r="70">
      <c r="A70" s="58" t="s">
        <v>103</v>
      </c>
      <c r="B70" s="58" t="s">
        <v>89</v>
      </c>
      <c r="C70" s="59">
        <v>2.0</v>
      </c>
    </row>
    <row r="71">
      <c r="A71" s="58" t="s">
        <v>103</v>
      </c>
      <c r="B71" s="58" t="s">
        <v>90</v>
      </c>
      <c r="C71" s="59">
        <v>6.5</v>
      </c>
    </row>
    <row r="72">
      <c r="A72" s="58" t="s">
        <v>103</v>
      </c>
      <c r="B72" s="58" t="s">
        <v>91</v>
      </c>
      <c r="C72" s="59"/>
    </row>
    <row r="73">
      <c r="A73" s="58" t="s">
        <v>103</v>
      </c>
      <c r="B73" s="58" t="s">
        <v>92</v>
      </c>
      <c r="C73" s="59"/>
    </row>
    <row r="74">
      <c r="A74" s="58" t="s">
        <v>104</v>
      </c>
      <c r="B74" s="58" t="s">
        <v>85</v>
      </c>
      <c r="C74" s="59">
        <v>4904.8</v>
      </c>
    </row>
    <row r="75">
      <c r="A75" s="58" t="s">
        <v>104</v>
      </c>
      <c r="B75" s="58" t="s">
        <v>86</v>
      </c>
      <c r="C75" s="59">
        <v>2785.1</v>
      </c>
    </row>
    <row r="76">
      <c r="A76" s="58" t="s">
        <v>104</v>
      </c>
      <c r="B76" s="58" t="s">
        <v>87</v>
      </c>
      <c r="C76" s="59">
        <v>1659.0</v>
      </c>
    </row>
    <row r="77">
      <c r="A77" s="58" t="s">
        <v>104</v>
      </c>
      <c r="B77" s="58" t="s">
        <v>88</v>
      </c>
      <c r="C77" s="59">
        <v>2421.8</v>
      </c>
    </row>
    <row r="78">
      <c r="A78" s="58" t="s">
        <v>104</v>
      </c>
      <c r="B78" s="58" t="s">
        <v>89</v>
      </c>
      <c r="C78" s="59">
        <v>555.9</v>
      </c>
    </row>
    <row r="79">
      <c r="A79" s="58" t="s">
        <v>104</v>
      </c>
      <c r="B79" s="58" t="s">
        <v>90</v>
      </c>
      <c r="C79" s="59">
        <v>6878.0</v>
      </c>
    </row>
    <row r="80">
      <c r="A80" s="58" t="s">
        <v>104</v>
      </c>
      <c r="B80" s="58" t="s">
        <v>91</v>
      </c>
      <c r="C80" s="59">
        <v>618.4</v>
      </c>
    </row>
    <row r="81">
      <c r="A81" s="58" t="s">
        <v>104</v>
      </c>
      <c r="B81" s="58" t="s">
        <v>92</v>
      </c>
      <c r="C81" s="59">
        <v>945.5</v>
      </c>
    </row>
    <row r="82">
      <c r="A82" s="58" t="s">
        <v>105</v>
      </c>
      <c r="B82" s="58" t="s">
        <v>85</v>
      </c>
      <c r="C82" s="59">
        <v>20024.4</v>
      </c>
    </row>
    <row r="83">
      <c r="A83" s="58" t="s">
        <v>105</v>
      </c>
      <c r="B83" s="58" t="s">
        <v>86</v>
      </c>
      <c r="C83" s="59">
        <v>5985.5</v>
      </c>
    </row>
    <row r="84">
      <c r="A84" s="58" t="s">
        <v>105</v>
      </c>
      <c r="B84" s="58" t="s">
        <v>87</v>
      </c>
      <c r="C84" s="59">
        <v>57.5</v>
      </c>
    </row>
    <row r="85">
      <c r="A85" s="58" t="s">
        <v>105</v>
      </c>
      <c r="B85" s="58" t="s">
        <v>88</v>
      </c>
      <c r="C85" s="59">
        <v>2025.1</v>
      </c>
    </row>
    <row r="86">
      <c r="A86" s="58" t="s">
        <v>105</v>
      </c>
      <c r="B86" s="58" t="s">
        <v>89</v>
      </c>
      <c r="C86" s="59">
        <v>371.7</v>
      </c>
    </row>
    <row r="87">
      <c r="A87" s="58" t="s">
        <v>105</v>
      </c>
      <c r="B87" s="58" t="s">
        <v>90</v>
      </c>
      <c r="C87" s="59">
        <v>8.1</v>
      </c>
    </row>
    <row r="88">
      <c r="A88" s="58" t="s">
        <v>105</v>
      </c>
      <c r="B88" s="58" t="s">
        <v>91</v>
      </c>
      <c r="C88" s="59">
        <v>1518.3</v>
      </c>
    </row>
    <row r="89">
      <c r="A89" s="58" t="s">
        <v>105</v>
      </c>
      <c r="B89" s="58" t="s">
        <v>92</v>
      </c>
      <c r="C89" s="59">
        <v>26.5</v>
      </c>
    </row>
    <row r="90">
      <c r="A90" s="58" t="s">
        <v>106</v>
      </c>
      <c r="B90" s="58" t="s">
        <v>85</v>
      </c>
      <c r="C90" s="59">
        <v>922.3</v>
      </c>
    </row>
    <row r="91">
      <c r="A91" s="58" t="s">
        <v>106</v>
      </c>
      <c r="B91" s="58" t="s">
        <v>86</v>
      </c>
      <c r="C91" s="59">
        <v>166.5</v>
      </c>
    </row>
    <row r="92">
      <c r="A92" s="58" t="s">
        <v>106</v>
      </c>
      <c r="B92" s="58" t="s">
        <v>87</v>
      </c>
      <c r="C92" s="59">
        <v>1459.0</v>
      </c>
    </row>
    <row r="93">
      <c r="A93" s="58" t="s">
        <v>106</v>
      </c>
      <c r="B93" s="58" t="s">
        <v>88</v>
      </c>
      <c r="C93" s="59">
        <v>0.2</v>
      </c>
    </row>
    <row r="94">
      <c r="A94" s="58" t="s">
        <v>106</v>
      </c>
      <c r="B94" s="58" t="s">
        <v>89</v>
      </c>
      <c r="C94" s="59">
        <v>2.0</v>
      </c>
    </row>
    <row r="95">
      <c r="A95" s="58" t="s">
        <v>106</v>
      </c>
      <c r="B95" s="58" t="s">
        <v>90</v>
      </c>
      <c r="C95" s="59">
        <v>0.1</v>
      </c>
    </row>
    <row r="96">
      <c r="A96" s="58" t="s">
        <v>106</v>
      </c>
      <c r="B96" s="58" t="s">
        <v>91</v>
      </c>
      <c r="C96" s="59">
        <v>6.4</v>
      </c>
    </row>
    <row r="97">
      <c r="A97" s="58" t="s">
        <v>106</v>
      </c>
      <c r="B97" s="58" t="s">
        <v>92</v>
      </c>
      <c r="C97" s="59"/>
    </row>
    <row r="98">
      <c r="A98" s="58" t="s">
        <v>107</v>
      </c>
      <c r="B98" s="58" t="s">
        <v>85</v>
      </c>
      <c r="C98" s="59">
        <v>1040.2</v>
      </c>
    </row>
    <row r="99">
      <c r="A99" s="58" t="s">
        <v>107</v>
      </c>
      <c r="B99" s="58" t="s">
        <v>86</v>
      </c>
      <c r="C99" s="59">
        <v>865.9</v>
      </c>
    </row>
    <row r="100">
      <c r="A100" s="58" t="s">
        <v>107</v>
      </c>
      <c r="B100" s="58" t="s">
        <v>87</v>
      </c>
      <c r="C100" s="59">
        <v>1221.2</v>
      </c>
    </row>
    <row r="101">
      <c r="A101" s="58" t="s">
        <v>107</v>
      </c>
      <c r="B101" s="58" t="s">
        <v>88</v>
      </c>
      <c r="C101" s="59">
        <v>16.5</v>
      </c>
    </row>
    <row r="102">
      <c r="A102" s="58" t="s">
        <v>107</v>
      </c>
      <c r="B102" s="58" t="s">
        <v>89</v>
      </c>
      <c r="C102" s="59"/>
    </row>
    <row r="103">
      <c r="A103" s="58" t="s">
        <v>107</v>
      </c>
      <c r="B103" s="58" t="s">
        <v>90</v>
      </c>
      <c r="C103" s="59"/>
    </row>
    <row r="104">
      <c r="A104" s="58" t="s">
        <v>107</v>
      </c>
      <c r="B104" s="58" t="s">
        <v>91</v>
      </c>
      <c r="C104" s="59">
        <v>56.2</v>
      </c>
    </row>
    <row r="105">
      <c r="A105" s="58" t="s">
        <v>107</v>
      </c>
      <c r="B105" s="58" t="s">
        <v>92</v>
      </c>
      <c r="C105" s="59"/>
    </row>
    <row r="106">
      <c r="A106" s="58" t="s">
        <v>108</v>
      </c>
      <c r="B106" s="58" t="s">
        <v>85</v>
      </c>
      <c r="C106" s="59">
        <v>340.4</v>
      </c>
    </row>
    <row r="107">
      <c r="A107" s="58" t="s">
        <v>108</v>
      </c>
      <c r="B107" s="58" t="s">
        <v>86</v>
      </c>
      <c r="C107" s="59">
        <v>3479.3</v>
      </c>
    </row>
    <row r="108">
      <c r="A108" s="58" t="s">
        <v>108</v>
      </c>
      <c r="B108" s="58" t="s">
        <v>87</v>
      </c>
      <c r="C108" s="59">
        <v>753.3</v>
      </c>
    </row>
    <row r="109">
      <c r="A109" s="58" t="s">
        <v>108</v>
      </c>
      <c r="B109" s="58" t="s">
        <v>88</v>
      </c>
      <c r="C109" s="59"/>
    </row>
    <row r="110">
      <c r="A110" s="58" t="s">
        <v>108</v>
      </c>
      <c r="B110" s="58" t="s">
        <v>89</v>
      </c>
      <c r="C110" s="59"/>
    </row>
    <row r="111">
      <c r="A111" s="58" t="s">
        <v>108</v>
      </c>
      <c r="B111" s="58" t="s">
        <v>90</v>
      </c>
      <c r="C111" s="59"/>
    </row>
    <row r="112">
      <c r="A112" s="58" t="s">
        <v>108</v>
      </c>
      <c r="B112" s="58" t="s">
        <v>91</v>
      </c>
      <c r="C112" s="59">
        <v>68.2</v>
      </c>
    </row>
    <row r="113">
      <c r="A113" s="58" t="s">
        <v>108</v>
      </c>
      <c r="B113" s="58" t="s">
        <v>92</v>
      </c>
      <c r="C113" s="59">
        <v>343.3</v>
      </c>
    </row>
    <row r="114">
      <c r="A114" s="58" t="s">
        <v>109</v>
      </c>
      <c r="B114" s="58" t="s">
        <v>85</v>
      </c>
      <c r="C114" s="59">
        <v>311.7</v>
      </c>
    </row>
    <row r="115">
      <c r="A115" s="58" t="s">
        <v>109</v>
      </c>
      <c r="B115" s="58" t="s">
        <v>86</v>
      </c>
      <c r="C115" s="59">
        <v>4413.0</v>
      </c>
    </row>
    <row r="116">
      <c r="A116" s="58" t="s">
        <v>109</v>
      </c>
      <c r="B116" s="58" t="s">
        <v>87</v>
      </c>
      <c r="C116" s="59">
        <v>9381.0</v>
      </c>
    </row>
    <row r="117">
      <c r="A117" s="58" t="s">
        <v>109</v>
      </c>
      <c r="B117" s="58" t="s">
        <v>88</v>
      </c>
      <c r="C117" s="59">
        <v>644.3</v>
      </c>
    </row>
    <row r="118">
      <c r="A118" s="58" t="s">
        <v>109</v>
      </c>
      <c r="B118" s="58" t="s">
        <v>89</v>
      </c>
      <c r="C118" s="59">
        <v>1630.5</v>
      </c>
    </row>
    <row r="119">
      <c r="A119" s="58" t="s">
        <v>109</v>
      </c>
      <c r="B119" s="58" t="s">
        <v>90</v>
      </c>
      <c r="C119" s="59">
        <v>1111.6</v>
      </c>
    </row>
    <row r="120">
      <c r="A120" s="58" t="s">
        <v>109</v>
      </c>
      <c r="B120" s="58" t="s">
        <v>91</v>
      </c>
      <c r="C120" s="59">
        <v>1.0</v>
      </c>
    </row>
    <row r="121">
      <c r="A121" s="58" t="s">
        <v>109</v>
      </c>
      <c r="B121" s="58" t="s">
        <v>92</v>
      </c>
      <c r="C121" s="59">
        <v>2140.6</v>
      </c>
    </row>
    <row r="122">
      <c r="A122" s="58" t="s">
        <v>110</v>
      </c>
      <c r="B122" s="58" t="s">
        <v>85</v>
      </c>
      <c r="C122" s="59"/>
    </row>
    <row r="123">
      <c r="A123" s="58" t="s">
        <v>110</v>
      </c>
      <c r="B123" s="58" t="s">
        <v>86</v>
      </c>
      <c r="C123" s="59">
        <v>739.3</v>
      </c>
    </row>
    <row r="124">
      <c r="A124" s="58" t="s">
        <v>110</v>
      </c>
      <c r="B124" s="58" t="s">
        <v>87</v>
      </c>
      <c r="C124" s="59">
        <v>0.1</v>
      </c>
    </row>
    <row r="125">
      <c r="A125" s="58" t="s">
        <v>110</v>
      </c>
      <c r="B125" s="58" t="s">
        <v>88</v>
      </c>
      <c r="C125" s="59"/>
    </row>
    <row r="126">
      <c r="A126" s="58" t="s">
        <v>110</v>
      </c>
      <c r="B126" s="58" t="s">
        <v>89</v>
      </c>
      <c r="C126" s="59">
        <v>0.6</v>
      </c>
    </row>
    <row r="127">
      <c r="A127" s="58" t="s">
        <v>110</v>
      </c>
      <c r="B127" s="58" t="s">
        <v>90</v>
      </c>
      <c r="C127" s="59">
        <v>1.1</v>
      </c>
    </row>
    <row r="128">
      <c r="A128" s="58" t="s">
        <v>110</v>
      </c>
      <c r="B128" s="58" t="s">
        <v>91</v>
      </c>
      <c r="C128" s="59"/>
    </row>
    <row r="129">
      <c r="A129" s="58" t="s">
        <v>110</v>
      </c>
      <c r="B129" s="58" t="s">
        <v>92</v>
      </c>
      <c r="C129" s="59">
        <v>3.8</v>
      </c>
    </row>
    <row r="130">
      <c r="A130" s="58" t="s">
        <v>111</v>
      </c>
      <c r="B130" s="58" t="s">
        <v>85</v>
      </c>
      <c r="C130" s="59">
        <v>31555.6</v>
      </c>
    </row>
    <row r="131">
      <c r="A131" s="58" t="s">
        <v>111</v>
      </c>
      <c r="B131" s="58" t="s">
        <v>86</v>
      </c>
      <c r="C131" s="59">
        <v>5131.5</v>
      </c>
    </row>
    <row r="132">
      <c r="A132" s="58" t="s">
        <v>111</v>
      </c>
      <c r="B132" s="58" t="s">
        <v>87</v>
      </c>
      <c r="C132" s="59">
        <v>5316.4</v>
      </c>
    </row>
    <row r="133">
      <c r="A133" s="58" t="s">
        <v>111</v>
      </c>
      <c r="B133" s="58" t="s">
        <v>88</v>
      </c>
      <c r="C133" s="59">
        <v>1319.4</v>
      </c>
    </row>
    <row r="134">
      <c r="A134" s="58" t="s">
        <v>111</v>
      </c>
      <c r="B134" s="58" t="s">
        <v>89</v>
      </c>
      <c r="C134" s="59">
        <v>187.8</v>
      </c>
    </row>
    <row r="135">
      <c r="A135" s="58" t="s">
        <v>111</v>
      </c>
      <c r="B135" s="58" t="s">
        <v>90</v>
      </c>
      <c r="C135" s="59">
        <v>756.5</v>
      </c>
    </row>
    <row r="136">
      <c r="A136" s="58" t="s">
        <v>111</v>
      </c>
      <c r="B136" s="58" t="s">
        <v>91</v>
      </c>
      <c r="C136" s="59">
        <v>1168.6</v>
      </c>
    </row>
    <row r="137">
      <c r="A137" s="58" t="s">
        <v>111</v>
      </c>
      <c r="B137" s="58" t="s">
        <v>92</v>
      </c>
      <c r="C137" s="59">
        <v>1298.8</v>
      </c>
    </row>
    <row r="138">
      <c r="A138" s="58" t="s">
        <v>112</v>
      </c>
      <c r="B138" s="58" t="s">
        <v>85</v>
      </c>
      <c r="C138" s="59">
        <v>3048.1</v>
      </c>
    </row>
    <row r="139">
      <c r="A139" s="58" t="s">
        <v>112</v>
      </c>
      <c r="B139" s="58" t="s">
        <v>86</v>
      </c>
      <c r="C139" s="59">
        <v>4456.0</v>
      </c>
    </row>
    <row r="140">
      <c r="A140" s="58" t="s">
        <v>112</v>
      </c>
      <c r="B140" s="58" t="s">
        <v>87</v>
      </c>
      <c r="C140" s="59">
        <v>6231.7</v>
      </c>
    </row>
    <row r="141">
      <c r="A141" s="58" t="s">
        <v>112</v>
      </c>
      <c r="B141" s="58" t="s">
        <v>88</v>
      </c>
      <c r="C141" s="59">
        <v>1579.7</v>
      </c>
    </row>
    <row r="142">
      <c r="A142" s="58" t="s">
        <v>112</v>
      </c>
      <c r="B142" s="58" t="s">
        <v>89</v>
      </c>
      <c r="C142" s="59">
        <v>3433.8</v>
      </c>
    </row>
    <row r="143">
      <c r="A143" s="58" t="s">
        <v>112</v>
      </c>
      <c r="B143" s="58" t="s">
        <v>90</v>
      </c>
      <c r="C143" s="59">
        <v>843.1</v>
      </c>
    </row>
    <row r="144">
      <c r="A144" s="58" t="s">
        <v>112</v>
      </c>
      <c r="B144" s="58" t="s">
        <v>91</v>
      </c>
      <c r="C144" s="59">
        <v>6.0</v>
      </c>
    </row>
    <row r="145">
      <c r="A145" s="58" t="s">
        <v>112</v>
      </c>
      <c r="B145" s="58" t="s">
        <v>92</v>
      </c>
      <c r="C145" s="59"/>
    </row>
    <row r="146">
      <c r="A146" s="58" t="s">
        <v>113</v>
      </c>
      <c r="B146" s="58" t="s">
        <v>85</v>
      </c>
      <c r="C146" s="59">
        <v>10.0</v>
      </c>
    </row>
    <row r="147">
      <c r="A147" s="58" t="s">
        <v>113</v>
      </c>
      <c r="B147" s="58" t="s">
        <v>86</v>
      </c>
      <c r="C147" s="59">
        <v>803.9</v>
      </c>
    </row>
    <row r="148">
      <c r="A148" s="58" t="s">
        <v>113</v>
      </c>
      <c r="B148" s="58" t="s">
        <v>87</v>
      </c>
      <c r="C148" s="59">
        <v>135.5</v>
      </c>
    </row>
    <row r="149">
      <c r="A149" s="58" t="s">
        <v>113</v>
      </c>
      <c r="B149" s="58" t="s">
        <v>88</v>
      </c>
      <c r="C149" s="59"/>
    </row>
    <row r="150">
      <c r="A150" s="58" t="s">
        <v>113</v>
      </c>
      <c r="B150" s="58" t="s">
        <v>89</v>
      </c>
      <c r="C150" s="59">
        <v>17.1</v>
      </c>
    </row>
    <row r="151">
      <c r="A151" s="58" t="s">
        <v>113</v>
      </c>
      <c r="B151" s="58" t="s">
        <v>90</v>
      </c>
      <c r="C151" s="59">
        <v>6.5</v>
      </c>
    </row>
    <row r="152">
      <c r="A152" s="58" t="s">
        <v>113</v>
      </c>
      <c r="B152" s="58" t="s">
        <v>91</v>
      </c>
      <c r="C152" s="59">
        <v>42.4</v>
      </c>
    </row>
    <row r="153">
      <c r="A153" s="58" t="s">
        <v>113</v>
      </c>
      <c r="B153" s="58" t="s">
        <v>92</v>
      </c>
      <c r="C153" s="59">
        <v>1.4</v>
      </c>
    </row>
    <row r="154">
      <c r="A154" s="58" t="s">
        <v>114</v>
      </c>
      <c r="B154" s="58" t="s">
        <v>85</v>
      </c>
      <c r="C154" s="59">
        <v>1.6</v>
      </c>
    </row>
    <row r="155">
      <c r="A155" s="58" t="s">
        <v>114</v>
      </c>
      <c r="B155" s="58" t="s">
        <v>86</v>
      </c>
      <c r="C155" s="59">
        <v>455.1</v>
      </c>
    </row>
    <row r="156">
      <c r="A156" s="58" t="s">
        <v>114</v>
      </c>
      <c r="B156" s="58" t="s">
        <v>87</v>
      </c>
      <c r="C156" s="59">
        <v>95.4</v>
      </c>
    </row>
    <row r="157">
      <c r="A157" s="58" t="s">
        <v>114</v>
      </c>
      <c r="B157" s="58" t="s">
        <v>88</v>
      </c>
      <c r="C157" s="59"/>
    </row>
    <row r="158">
      <c r="A158" s="58" t="s">
        <v>114</v>
      </c>
      <c r="B158" s="58" t="s">
        <v>89</v>
      </c>
      <c r="C158" s="59"/>
    </row>
    <row r="159">
      <c r="A159" s="58" t="s">
        <v>114</v>
      </c>
      <c r="B159" s="58" t="s">
        <v>90</v>
      </c>
      <c r="C159" s="59"/>
    </row>
    <row r="160">
      <c r="A160" s="58" t="s">
        <v>114</v>
      </c>
      <c r="B160" s="58" t="s">
        <v>91</v>
      </c>
      <c r="C160" s="59">
        <v>16.7</v>
      </c>
    </row>
    <row r="161">
      <c r="A161" s="58" t="s">
        <v>114</v>
      </c>
      <c r="B161" s="58" t="s">
        <v>92</v>
      </c>
      <c r="C161" s="59">
        <v>4.2</v>
      </c>
    </row>
    <row r="162">
      <c r="A162" s="58" t="s">
        <v>115</v>
      </c>
      <c r="B162" s="58" t="s">
        <v>85</v>
      </c>
      <c r="C162" s="59"/>
    </row>
    <row r="163">
      <c r="A163" s="58" t="s">
        <v>115</v>
      </c>
      <c r="B163" s="58" t="s">
        <v>86</v>
      </c>
      <c r="C163" s="59">
        <v>92.6</v>
      </c>
    </row>
    <row r="164">
      <c r="A164" s="58" t="s">
        <v>115</v>
      </c>
      <c r="B164" s="58" t="s">
        <v>87</v>
      </c>
      <c r="C164" s="59">
        <v>22.1</v>
      </c>
    </row>
    <row r="165">
      <c r="A165" s="58" t="s">
        <v>115</v>
      </c>
      <c r="B165" s="58" t="s">
        <v>88</v>
      </c>
      <c r="C165" s="59"/>
    </row>
    <row r="166">
      <c r="A166" s="58" t="s">
        <v>115</v>
      </c>
      <c r="B166" s="58" t="s">
        <v>89</v>
      </c>
      <c r="C166" s="59">
        <v>2.4</v>
      </c>
    </row>
    <row r="167">
      <c r="A167" s="58" t="s">
        <v>115</v>
      </c>
      <c r="B167" s="58" t="s">
        <v>90</v>
      </c>
      <c r="C167" s="59">
        <v>0.0</v>
      </c>
    </row>
    <row r="168">
      <c r="A168" s="58" t="s">
        <v>115</v>
      </c>
      <c r="B168" s="58" t="s">
        <v>91</v>
      </c>
      <c r="C168" s="59">
        <v>1.1</v>
      </c>
    </row>
    <row r="169">
      <c r="A169" s="58" t="s">
        <v>115</v>
      </c>
      <c r="B169" s="58" t="s">
        <v>92</v>
      </c>
      <c r="C169" s="59">
        <v>0.9</v>
      </c>
    </row>
    <row r="170">
      <c r="A170" s="58" t="s">
        <v>117</v>
      </c>
      <c r="B170" s="58" t="s">
        <v>85</v>
      </c>
      <c r="C170" s="59">
        <v>9.1</v>
      </c>
    </row>
    <row r="171">
      <c r="A171" s="58" t="s">
        <v>117</v>
      </c>
      <c r="B171" s="58" t="s">
        <v>86</v>
      </c>
      <c r="C171" s="59">
        <v>684.0</v>
      </c>
    </row>
    <row r="172">
      <c r="A172" s="58" t="s">
        <v>117</v>
      </c>
      <c r="B172" s="58" t="s">
        <v>87</v>
      </c>
      <c r="C172" s="59">
        <v>319.3</v>
      </c>
    </row>
    <row r="173">
      <c r="A173" s="58" t="s">
        <v>117</v>
      </c>
      <c r="B173" s="58" t="s">
        <v>88</v>
      </c>
      <c r="C173" s="59">
        <v>1.8</v>
      </c>
    </row>
    <row r="174">
      <c r="A174" s="58" t="s">
        <v>117</v>
      </c>
      <c r="B174" s="58" t="s">
        <v>89</v>
      </c>
      <c r="C174" s="59">
        <v>21.3</v>
      </c>
    </row>
    <row r="175">
      <c r="A175" s="58" t="s">
        <v>117</v>
      </c>
      <c r="B175" s="58" t="s">
        <v>90</v>
      </c>
      <c r="C175" s="59">
        <v>2.3</v>
      </c>
    </row>
    <row r="176">
      <c r="A176" s="58" t="s">
        <v>117</v>
      </c>
      <c r="B176" s="58" t="s">
        <v>91</v>
      </c>
      <c r="C176" s="59">
        <v>48.9</v>
      </c>
    </row>
    <row r="177">
      <c r="A177" s="58" t="s">
        <v>117</v>
      </c>
      <c r="B177" s="58" t="s">
        <v>92</v>
      </c>
      <c r="C177" s="59">
        <v>13.4</v>
      </c>
    </row>
    <row r="178">
      <c r="A178" s="58" t="s">
        <v>118</v>
      </c>
      <c r="B178" s="58" t="s">
        <v>85</v>
      </c>
      <c r="C178" s="59">
        <v>0.4</v>
      </c>
    </row>
    <row r="179">
      <c r="A179" s="58" t="s">
        <v>118</v>
      </c>
      <c r="B179" s="58" t="s">
        <v>86</v>
      </c>
      <c r="C179" s="59">
        <v>11110.3</v>
      </c>
    </row>
    <row r="180">
      <c r="A180" s="58" t="s">
        <v>118</v>
      </c>
      <c r="B180" s="58" t="s">
        <v>87</v>
      </c>
      <c r="C180" s="59">
        <v>332.4</v>
      </c>
    </row>
    <row r="181">
      <c r="A181" s="58" t="s">
        <v>118</v>
      </c>
      <c r="B181" s="58" t="s">
        <v>88</v>
      </c>
      <c r="C181" s="59"/>
    </row>
    <row r="182">
      <c r="A182" s="58" t="s">
        <v>118</v>
      </c>
      <c r="B182" s="58" t="s">
        <v>89</v>
      </c>
      <c r="C182" s="59">
        <v>1.9</v>
      </c>
    </row>
    <row r="183">
      <c r="A183" s="58" t="s">
        <v>118</v>
      </c>
      <c r="B183" s="58" t="s">
        <v>90</v>
      </c>
      <c r="C183" s="59">
        <v>114.4</v>
      </c>
    </row>
    <row r="184">
      <c r="A184" s="58" t="s">
        <v>118</v>
      </c>
      <c r="B184" s="58" t="s">
        <v>91</v>
      </c>
      <c r="C184" s="59">
        <v>4.6</v>
      </c>
    </row>
    <row r="185">
      <c r="A185" s="58" t="s">
        <v>118</v>
      </c>
      <c r="B185" s="58" t="s">
        <v>92</v>
      </c>
      <c r="C185" s="59"/>
    </row>
    <row r="186">
      <c r="A186" s="58" t="s">
        <v>119</v>
      </c>
      <c r="B186" s="58" t="s">
        <v>85</v>
      </c>
      <c r="C186" s="59"/>
    </row>
    <row r="187">
      <c r="A187" s="58" t="s">
        <v>119</v>
      </c>
      <c r="B187" s="58" t="s">
        <v>86</v>
      </c>
      <c r="C187" s="59">
        <v>76.0</v>
      </c>
    </row>
    <row r="188">
      <c r="A188" s="58" t="s">
        <v>119</v>
      </c>
      <c r="B188" s="58" t="s">
        <v>87</v>
      </c>
      <c r="C188" s="59"/>
    </row>
    <row r="189">
      <c r="A189" s="58" t="s">
        <v>119</v>
      </c>
      <c r="B189" s="58" t="s">
        <v>88</v>
      </c>
      <c r="C189" s="59">
        <v>0.1</v>
      </c>
    </row>
    <row r="190">
      <c r="A190" s="58" t="s">
        <v>119</v>
      </c>
      <c r="B190" s="58" t="s">
        <v>89</v>
      </c>
      <c r="C190" s="59">
        <v>10.1</v>
      </c>
    </row>
    <row r="191">
      <c r="A191" s="58" t="s">
        <v>119</v>
      </c>
      <c r="B191" s="58" t="s">
        <v>90</v>
      </c>
      <c r="C191" s="59">
        <v>1.9</v>
      </c>
    </row>
    <row r="192">
      <c r="A192" s="58" t="s">
        <v>119</v>
      </c>
      <c r="B192" s="58" t="s">
        <v>91</v>
      </c>
      <c r="C192" s="59"/>
    </row>
    <row r="193">
      <c r="A193" s="58" t="s">
        <v>119</v>
      </c>
      <c r="B193" s="58" t="s">
        <v>92</v>
      </c>
      <c r="C193" s="59">
        <v>1.0</v>
      </c>
    </row>
    <row r="194">
      <c r="A194" s="58" t="s">
        <v>120</v>
      </c>
      <c r="B194" s="58" t="s">
        <v>85</v>
      </c>
      <c r="C194" s="59">
        <v>30925.8</v>
      </c>
    </row>
    <row r="195">
      <c r="A195" s="58" t="s">
        <v>120</v>
      </c>
      <c r="B195" s="58" t="s">
        <v>86</v>
      </c>
      <c r="C195" s="59">
        <v>18921.5</v>
      </c>
    </row>
    <row r="196">
      <c r="A196" s="58" t="s">
        <v>120</v>
      </c>
      <c r="B196" s="58" t="s">
        <v>87</v>
      </c>
      <c r="C196" s="59">
        <v>1013.1</v>
      </c>
    </row>
    <row r="197">
      <c r="A197" s="58" t="s">
        <v>120</v>
      </c>
      <c r="B197" s="58" t="s">
        <v>88</v>
      </c>
      <c r="C197" s="59"/>
    </row>
    <row r="198">
      <c r="A198" s="58" t="s">
        <v>120</v>
      </c>
      <c r="B198" s="58" t="s">
        <v>89</v>
      </c>
      <c r="C198" s="59">
        <v>366.2</v>
      </c>
    </row>
    <row r="199">
      <c r="A199" s="58" t="s">
        <v>120</v>
      </c>
      <c r="B199" s="58" t="s">
        <v>90</v>
      </c>
      <c r="C199" s="59">
        <v>5.6</v>
      </c>
    </row>
    <row r="200">
      <c r="A200" s="58" t="s">
        <v>120</v>
      </c>
      <c r="B200" s="58" t="s">
        <v>91</v>
      </c>
      <c r="C200" s="59">
        <v>81.4</v>
      </c>
    </row>
    <row r="201">
      <c r="A201" s="58" t="s">
        <v>120</v>
      </c>
      <c r="B201" s="58" t="s">
        <v>92</v>
      </c>
      <c r="C201" s="59">
        <v>12.1</v>
      </c>
    </row>
    <row r="202">
      <c r="A202" s="58" t="s">
        <v>121</v>
      </c>
      <c r="B202" s="58" t="s">
        <v>85</v>
      </c>
      <c r="C202" s="59">
        <v>20609.2</v>
      </c>
    </row>
    <row r="203">
      <c r="A203" s="58" t="s">
        <v>121</v>
      </c>
      <c r="B203" s="58" t="s">
        <v>86</v>
      </c>
      <c r="C203" s="59">
        <v>636.7</v>
      </c>
    </row>
    <row r="204">
      <c r="A204" s="58" t="s">
        <v>121</v>
      </c>
      <c r="B204" s="58" t="s">
        <v>87</v>
      </c>
      <c r="C204" s="59">
        <v>3315.4</v>
      </c>
    </row>
    <row r="205">
      <c r="A205" s="58" t="s">
        <v>121</v>
      </c>
      <c r="B205" s="58" t="s">
        <v>88</v>
      </c>
      <c r="C205" s="59">
        <v>9767.5</v>
      </c>
    </row>
    <row r="206">
      <c r="A206" s="58" t="s">
        <v>121</v>
      </c>
      <c r="B206" s="58" t="s">
        <v>89</v>
      </c>
      <c r="C206" s="59">
        <v>25.5</v>
      </c>
    </row>
    <row r="207">
      <c r="A207" s="58" t="s">
        <v>121</v>
      </c>
      <c r="B207" s="58" t="s">
        <v>90</v>
      </c>
      <c r="C207" s="59">
        <v>2656.3</v>
      </c>
    </row>
    <row r="208">
      <c r="A208" s="58" t="s">
        <v>121</v>
      </c>
      <c r="B208" s="58" t="s">
        <v>91</v>
      </c>
      <c r="C208" s="59">
        <v>6359.4</v>
      </c>
    </row>
    <row r="209">
      <c r="A209" s="58" t="s">
        <v>121</v>
      </c>
      <c r="B209" s="58" t="s">
        <v>92</v>
      </c>
      <c r="C209" s="59">
        <v>36.2</v>
      </c>
    </row>
    <row r="210">
      <c r="A210" s="58" t="s">
        <v>122</v>
      </c>
      <c r="B210" s="58" t="s">
        <v>85</v>
      </c>
      <c r="C210" s="59">
        <v>0.7</v>
      </c>
    </row>
    <row r="211">
      <c r="A211" s="58" t="s">
        <v>122</v>
      </c>
      <c r="B211" s="58" t="s">
        <v>86</v>
      </c>
      <c r="C211" s="59">
        <v>29.6</v>
      </c>
    </row>
    <row r="212">
      <c r="A212" s="58" t="s">
        <v>122</v>
      </c>
      <c r="B212" s="58" t="s">
        <v>87</v>
      </c>
      <c r="C212" s="59">
        <v>157.3</v>
      </c>
    </row>
    <row r="213">
      <c r="A213" s="58" t="s">
        <v>122</v>
      </c>
      <c r="B213" s="58" t="s">
        <v>88</v>
      </c>
      <c r="C213" s="59"/>
    </row>
    <row r="214">
      <c r="A214" s="58" t="s">
        <v>122</v>
      </c>
      <c r="B214" s="58" t="s">
        <v>89</v>
      </c>
      <c r="C214" s="59"/>
    </row>
    <row r="215">
      <c r="A215" s="58" t="s">
        <v>122</v>
      </c>
      <c r="B215" s="58" t="s">
        <v>90</v>
      </c>
      <c r="C215" s="59"/>
    </row>
    <row r="216">
      <c r="A216" s="58" t="s">
        <v>122</v>
      </c>
      <c r="B216" s="58" t="s">
        <v>91</v>
      </c>
      <c r="C216" s="59"/>
    </row>
    <row r="217">
      <c r="A217" s="58" t="s">
        <v>122</v>
      </c>
      <c r="B217" s="58" t="s">
        <v>92</v>
      </c>
      <c r="C217" s="59"/>
    </row>
    <row r="218">
      <c r="A218" s="58" t="s">
        <v>123</v>
      </c>
      <c r="B218" s="58" t="s">
        <v>85</v>
      </c>
      <c r="C218" s="59"/>
    </row>
    <row r="219">
      <c r="A219" s="58" t="s">
        <v>123</v>
      </c>
      <c r="B219" s="58" t="s">
        <v>86</v>
      </c>
      <c r="C219" s="59">
        <v>18154.3</v>
      </c>
    </row>
    <row r="220">
      <c r="A220" s="58" t="s">
        <v>123</v>
      </c>
      <c r="B220" s="58" t="s">
        <v>87</v>
      </c>
      <c r="C220" s="59">
        <v>10620.2</v>
      </c>
    </row>
    <row r="221">
      <c r="A221" s="58" t="s">
        <v>123</v>
      </c>
      <c r="B221" s="58" t="s">
        <v>88</v>
      </c>
      <c r="C221" s="59">
        <v>711.0</v>
      </c>
    </row>
    <row r="222">
      <c r="A222" s="58" t="s">
        <v>123</v>
      </c>
      <c r="B222" s="58" t="s">
        <v>89</v>
      </c>
      <c r="C222" s="59">
        <v>1027.5</v>
      </c>
    </row>
    <row r="223">
      <c r="A223" s="58" t="s">
        <v>123</v>
      </c>
      <c r="B223" s="58" t="s">
        <v>90</v>
      </c>
      <c r="C223" s="59">
        <v>1908.6</v>
      </c>
    </row>
    <row r="224">
      <c r="A224" s="58" t="s">
        <v>123</v>
      </c>
      <c r="B224" s="58" t="s">
        <v>91</v>
      </c>
      <c r="C224" s="59">
        <v>0.2</v>
      </c>
    </row>
    <row r="225">
      <c r="A225" s="58" t="s">
        <v>123</v>
      </c>
      <c r="B225" s="58" t="s">
        <v>92</v>
      </c>
      <c r="C225" s="59">
        <v>254.3</v>
      </c>
    </row>
    <row r="226">
      <c r="A226" s="58" t="s">
        <v>124</v>
      </c>
      <c r="B226" s="58" t="s">
        <v>85</v>
      </c>
      <c r="C226" s="59">
        <v>23.9</v>
      </c>
    </row>
    <row r="227">
      <c r="A227" s="58" t="s">
        <v>124</v>
      </c>
      <c r="B227" s="58" t="s">
        <v>86</v>
      </c>
      <c r="C227" s="59">
        <v>10835.7</v>
      </c>
    </row>
    <row r="228">
      <c r="A228" s="58" t="s">
        <v>124</v>
      </c>
      <c r="B228" s="58" t="s">
        <v>87</v>
      </c>
      <c r="C228" s="59">
        <v>7834.7</v>
      </c>
    </row>
    <row r="229">
      <c r="A229" s="58" t="s">
        <v>124</v>
      </c>
      <c r="B229" s="58" t="s">
        <v>88</v>
      </c>
      <c r="C229" s="59">
        <v>51.2</v>
      </c>
    </row>
    <row r="230">
      <c r="A230" s="58" t="s">
        <v>124</v>
      </c>
      <c r="B230" s="58" t="s">
        <v>89</v>
      </c>
      <c r="C230" s="59">
        <v>183.7</v>
      </c>
    </row>
    <row r="231">
      <c r="A231" s="58" t="s">
        <v>124</v>
      </c>
      <c r="B231" s="58" t="s">
        <v>90</v>
      </c>
      <c r="C231" s="59">
        <v>1033.7</v>
      </c>
    </row>
    <row r="232">
      <c r="A232" s="58" t="s">
        <v>124</v>
      </c>
      <c r="B232" s="58" t="s">
        <v>91</v>
      </c>
      <c r="C232" s="59">
        <v>5.1</v>
      </c>
    </row>
    <row r="233">
      <c r="A233" s="58" t="s">
        <v>124</v>
      </c>
      <c r="B233" s="58" t="s">
        <v>92</v>
      </c>
      <c r="C233" s="59">
        <v>734.6</v>
      </c>
    </row>
    <row r="234">
      <c r="A234" s="58" t="s">
        <v>125</v>
      </c>
      <c r="B234" s="58" t="s">
        <v>85</v>
      </c>
      <c r="C234" s="59">
        <v>0.6</v>
      </c>
    </row>
    <row r="235">
      <c r="A235" s="58" t="s">
        <v>125</v>
      </c>
      <c r="B235" s="58" t="s">
        <v>86</v>
      </c>
      <c r="C235" s="59">
        <v>1345.8</v>
      </c>
    </row>
    <row r="236">
      <c r="A236" s="58" t="s">
        <v>125</v>
      </c>
      <c r="B236" s="58" t="s">
        <v>87</v>
      </c>
      <c r="C236" s="59">
        <v>21.5</v>
      </c>
    </row>
    <row r="237">
      <c r="A237" s="58" t="s">
        <v>125</v>
      </c>
      <c r="B237" s="58" t="s">
        <v>88</v>
      </c>
      <c r="C237" s="59"/>
    </row>
    <row r="238">
      <c r="A238" s="58" t="s">
        <v>125</v>
      </c>
      <c r="B238" s="58" t="s">
        <v>89</v>
      </c>
      <c r="C238" s="59">
        <v>2.2</v>
      </c>
    </row>
    <row r="239">
      <c r="A239" s="58" t="s">
        <v>125</v>
      </c>
      <c r="B239" s="58" t="s">
        <v>90</v>
      </c>
      <c r="C239" s="59">
        <v>2.4</v>
      </c>
    </row>
    <row r="240">
      <c r="A240" s="58" t="s">
        <v>125</v>
      </c>
      <c r="B240" s="58" t="s">
        <v>91</v>
      </c>
      <c r="C240" s="59">
        <v>7.3</v>
      </c>
    </row>
    <row r="241">
      <c r="A241" s="58" t="s">
        <v>125</v>
      </c>
      <c r="B241" s="58" t="s">
        <v>92</v>
      </c>
      <c r="C241" s="59">
        <v>7.0</v>
      </c>
    </row>
    <row r="242">
      <c r="A242" s="58" t="s">
        <v>126</v>
      </c>
      <c r="B242" s="58" t="s">
        <v>85</v>
      </c>
      <c r="C242" s="59">
        <v>65194.1</v>
      </c>
    </row>
    <row r="243">
      <c r="A243" s="58" t="s">
        <v>126</v>
      </c>
      <c r="B243" s="58" t="s">
        <v>86</v>
      </c>
      <c r="C243" s="59">
        <v>23005.1</v>
      </c>
    </row>
    <row r="244">
      <c r="A244" s="58" t="s">
        <v>126</v>
      </c>
      <c r="B244" s="58" t="s">
        <v>87</v>
      </c>
      <c r="C244" s="59">
        <v>3571.3</v>
      </c>
    </row>
    <row r="245">
      <c r="A245" s="58" t="s">
        <v>126</v>
      </c>
      <c r="B245" s="58" t="s">
        <v>88</v>
      </c>
      <c r="C245" s="59">
        <v>4656.6</v>
      </c>
    </row>
    <row r="246">
      <c r="A246" s="58" t="s">
        <v>126</v>
      </c>
      <c r="B246" s="58" t="s">
        <v>89</v>
      </c>
      <c r="C246" s="59">
        <v>8561.7</v>
      </c>
    </row>
    <row r="247">
      <c r="A247" s="58" t="s">
        <v>126</v>
      </c>
      <c r="B247" s="58" t="s">
        <v>90</v>
      </c>
      <c r="C247" s="59">
        <v>210.9</v>
      </c>
    </row>
    <row r="248">
      <c r="A248" s="58" t="s">
        <v>126</v>
      </c>
      <c r="B248" s="58" t="s">
        <v>91</v>
      </c>
      <c r="C248" s="59">
        <v>1751.9</v>
      </c>
    </row>
    <row r="249">
      <c r="A249" s="58" t="s">
        <v>126</v>
      </c>
      <c r="B249" s="58" t="s">
        <v>92</v>
      </c>
      <c r="C249" s="59">
        <v>903.6</v>
      </c>
    </row>
    <row r="250">
      <c r="A250" s="58" t="s">
        <v>154</v>
      </c>
      <c r="B250" s="58" t="s">
        <v>85</v>
      </c>
      <c r="C250" s="59">
        <v>1639.4</v>
      </c>
    </row>
    <row r="251">
      <c r="A251" s="58" t="s">
        <v>154</v>
      </c>
      <c r="B251" s="58" t="s">
        <v>86</v>
      </c>
      <c r="C251" s="59">
        <v>977.4</v>
      </c>
    </row>
    <row r="252">
      <c r="A252" s="58" t="s">
        <v>154</v>
      </c>
      <c r="B252" s="58" t="s">
        <v>87</v>
      </c>
      <c r="C252" s="59">
        <v>91.4</v>
      </c>
    </row>
    <row r="253">
      <c r="A253" s="58" t="s">
        <v>154</v>
      </c>
      <c r="B253" s="58" t="s">
        <v>88</v>
      </c>
      <c r="C253" s="59"/>
    </row>
    <row r="254">
      <c r="A254" s="58" t="s">
        <v>154</v>
      </c>
      <c r="B254" s="58" t="s">
        <v>89</v>
      </c>
      <c r="C254" s="59">
        <v>295.8</v>
      </c>
    </row>
    <row r="255">
      <c r="A255" s="58" t="s">
        <v>154</v>
      </c>
      <c r="B255" s="58" t="s">
        <v>90</v>
      </c>
      <c r="C255" s="59">
        <v>2.7</v>
      </c>
    </row>
    <row r="256">
      <c r="A256" s="58" t="s">
        <v>154</v>
      </c>
      <c r="B256" s="58" t="s">
        <v>91</v>
      </c>
      <c r="C256" s="59">
        <v>20.4</v>
      </c>
    </row>
    <row r="257">
      <c r="A257" s="58" t="s">
        <v>154</v>
      </c>
      <c r="B257" s="58" t="s">
        <v>92</v>
      </c>
      <c r="C257" s="59">
        <v>7.8</v>
      </c>
    </row>
    <row r="258">
      <c r="A258" s="58" t="s">
        <v>128</v>
      </c>
      <c r="B258" s="58" t="s">
        <v>85</v>
      </c>
      <c r="C258" s="59">
        <v>1348.7</v>
      </c>
    </row>
    <row r="259">
      <c r="A259" s="58" t="s">
        <v>128</v>
      </c>
      <c r="B259" s="58" t="s">
        <v>86</v>
      </c>
      <c r="C259" s="59">
        <v>24139.1</v>
      </c>
    </row>
    <row r="260">
      <c r="A260" s="58" t="s">
        <v>128</v>
      </c>
      <c r="B260" s="58" t="s">
        <v>87</v>
      </c>
      <c r="C260" s="59">
        <v>3780.2</v>
      </c>
    </row>
    <row r="261">
      <c r="A261" s="58" t="s">
        <v>128</v>
      </c>
      <c r="B261" s="58" t="s">
        <v>88</v>
      </c>
      <c r="C261" s="59">
        <v>0.1</v>
      </c>
    </row>
    <row r="262">
      <c r="A262" s="58" t="s">
        <v>128</v>
      </c>
      <c r="B262" s="58" t="s">
        <v>89</v>
      </c>
      <c r="C262" s="59">
        <v>81.5</v>
      </c>
    </row>
    <row r="263">
      <c r="A263" s="58" t="s">
        <v>128</v>
      </c>
      <c r="B263" s="58" t="s">
        <v>90</v>
      </c>
      <c r="C263" s="59">
        <v>443.5</v>
      </c>
    </row>
    <row r="264">
      <c r="A264" s="58" t="s">
        <v>128</v>
      </c>
      <c r="B264" s="58" t="s">
        <v>91</v>
      </c>
      <c r="C264" s="59">
        <v>1233.0</v>
      </c>
    </row>
    <row r="265">
      <c r="A265" s="58" t="s">
        <v>128</v>
      </c>
      <c r="B265" s="58" t="s">
        <v>92</v>
      </c>
      <c r="C265" s="59">
        <v>11.6</v>
      </c>
    </row>
  </sheetData>
  <autoFilter ref="$A$1:$Z$96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60" t="s">
        <v>155</v>
      </c>
      <c r="B1" s="60" t="s">
        <v>74</v>
      </c>
    </row>
    <row r="2">
      <c r="A2" s="61" t="s">
        <v>156</v>
      </c>
      <c r="B2" s="62">
        <f>SUM(india_biomass_production!C:C)</f>
        <v>435822.22</v>
      </c>
    </row>
    <row r="3">
      <c r="A3" s="61" t="s">
        <v>157</v>
      </c>
      <c r="B3" s="62">
        <f>AVERAGE(Biomass_quality_final!D:D)</f>
        <v>40.00551974</v>
      </c>
    </row>
    <row r="4">
      <c r="A4" s="61" t="s">
        <v>158</v>
      </c>
      <c r="B4" s="63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</cols>
  <sheetData>
    <row r="1">
      <c r="A1" s="64" t="s">
        <v>76</v>
      </c>
      <c r="B1" s="64" t="s">
        <v>77</v>
      </c>
      <c r="C1" s="64" t="s">
        <v>74</v>
      </c>
      <c r="D1" s="48" t="s">
        <v>159</v>
      </c>
    </row>
    <row r="2">
      <c r="A2" s="64" t="s">
        <v>160</v>
      </c>
      <c r="B2" s="65">
        <v>2000.0</v>
      </c>
      <c r="C2" s="66">
        <v>2092859.0</v>
      </c>
      <c r="D2" s="49">
        <f t="array" ref="D2">C2 / XLOOKUP(B2, india_reference!A:A, india_reference!B:B)</f>
        <v>0.3973606111</v>
      </c>
    </row>
    <row r="3">
      <c r="A3" s="64" t="s">
        <v>160</v>
      </c>
      <c r="B3" s="65">
        <v>2001.0</v>
      </c>
      <c r="C3" s="66">
        <v>2202556.0</v>
      </c>
      <c r="D3" s="49">
        <f t="array" ref="D3">C3 / XLOOKUP(B3, india_reference!A:A, india_reference!B:B)</f>
        <v>0.4119626806</v>
      </c>
    </row>
    <row r="4">
      <c r="A4" s="64" t="s">
        <v>160</v>
      </c>
      <c r="B4" s="65">
        <v>2002.0</v>
      </c>
      <c r="C4" s="66">
        <v>2399202.0</v>
      </c>
      <c r="D4" s="49">
        <f t="array" ref="D4">C4 / XLOOKUP(B4, india_reference!A:A, india_reference!B:B)</f>
        <v>0.4463437313</v>
      </c>
    </row>
    <row r="5">
      <c r="A5" s="64" t="s">
        <v>160</v>
      </c>
      <c r="B5" s="65">
        <v>2003.0</v>
      </c>
      <c r="C5" s="66">
        <v>2676386.0</v>
      </c>
      <c r="D5" s="49">
        <f t="array" ref="D5">C5 / XLOOKUP(B5, india_reference!A:A, india_reference!B:B)</f>
        <v>0.4918520724</v>
      </c>
    </row>
    <row r="6">
      <c r="A6" s="64" t="s">
        <v>160</v>
      </c>
      <c r="B6" s="65">
        <v>2004.0</v>
      </c>
      <c r="C6" s="66">
        <v>2805291.0</v>
      </c>
      <c r="D6" s="49">
        <f t="array" ref="D6">C6 / XLOOKUP(B6, india_reference!A:A, india_reference!B:B)</f>
        <v>0.5045804134</v>
      </c>
    </row>
    <row r="7">
      <c r="A7" s="64" t="s">
        <v>160</v>
      </c>
      <c r="B7" s="65">
        <v>2005.0</v>
      </c>
      <c r="C7" s="66">
        <v>2937378.0</v>
      </c>
      <c r="D7" s="49">
        <f t="array" ref="D7">C7 / XLOOKUP(B7, india_reference!A:A, india_reference!B:B)</f>
        <v>0.5201273289</v>
      </c>
    </row>
    <row r="8">
      <c r="A8" s="64" t="s">
        <v>160</v>
      </c>
      <c r="B8" s="65">
        <v>2006.0</v>
      </c>
      <c r="C8" s="66">
        <v>3140208.0</v>
      </c>
      <c r="D8" s="49">
        <f t="array" ref="D8">C8 / XLOOKUP(B8, india_reference!A:A, india_reference!B:B)</f>
        <v>0.5428625563</v>
      </c>
    </row>
    <row r="9">
      <c r="A9" s="64" t="s">
        <v>160</v>
      </c>
      <c r="B9" s="65">
        <v>2007.0</v>
      </c>
      <c r="C9" s="66">
        <v>3509780.0</v>
      </c>
      <c r="D9" s="49">
        <f t="array" ref="D9">C9 / XLOOKUP(B9, india_reference!A:A, india_reference!B:B)</f>
        <v>0.5927098535</v>
      </c>
    </row>
    <row r="10">
      <c r="A10" s="64" t="s">
        <v>160</v>
      </c>
      <c r="B10" s="65">
        <v>2008.0</v>
      </c>
      <c r="C10" s="66">
        <v>3238897.0</v>
      </c>
      <c r="D10" s="49">
        <f t="array" ref="D10">C10 / XLOOKUP(B10, india_reference!A:A, india_reference!B:B)</f>
        <v>0.5390801426</v>
      </c>
    </row>
    <row r="11">
      <c r="A11" s="64" t="s">
        <v>160</v>
      </c>
      <c r="B11" s="65">
        <v>2009.0</v>
      </c>
      <c r="C11" s="66">
        <v>3101543.0</v>
      </c>
      <c r="D11" s="49">
        <f t="array" ref="D11">C11 / XLOOKUP(B11, india_reference!A:A, india_reference!B:B)</f>
        <v>0.5082916018</v>
      </c>
    </row>
    <row r="12">
      <c r="A12" s="64" t="s">
        <v>160</v>
      </c>
      <c r="B12" s="65">
        <v>2010.0</v>
      </c>
      <c r="C12" s="66">
        <v>3376495.0</v>
      </c>
      <c r="D12" s="49">
        <f t="array" ref="D12">C12 / XLOOKUP(B12, india_reference!A:A, india_reference!B:B)</f>
        <v>0.5372540446</v>
      </c>
    </row>
    <row r="13">
      <c r="A13" s="64" t="s">
        <v>160</v>
      </c>
      <c r="B13" s="65">
        <v>2011.0</v>
      </c>
      <c r="C13" s="66">
        <v>3255430.0</v>
      </c>
      <c r="D13" s="49">
        <f t="array" ref="D13">C13 / XLOOKUP(B13, india_reference!A:A, india_reference!B:B)</f>
        <v>0.5110967929</v>
      </c>
    </row>
    <row r="14">
      <c r="A14" s="64" t="s">
        <v>160</v>
      </c>
      <c r="B14" s="65">
        <v>2012.0</v>
      </c>
      <c r="C14" s="66">
        <v>3333302.0</v>
      </c>
      <c r="D14" s="49">
        <f t="array" ref="D14">C14 / XLOOKUP(B14, india_reference!A:A, india_reference!B:B)</f>
        <v>0.5141635126</v>
      </c>
    </row>
    <row r="15">
      <c r="A15" s="64" t="s">
        <v>160</v>
      </c>
      <c r="B15" s="65">
        <v>2013.0</v>
      </c>
      <c r="C15" s="66">
        <v>3464636.0</v>
      </c>
      <c r="D15" s="49">
        <f t="array" ref="D15">C15 / XLOOKUP(B15, india_reference!A:A, india_reference!B:B)</f>
        <v>0.5184862382</v>
      </c>
    </row>
    <row r="16">
      <c r="A16" s="64" t="s">
        <v>160</v>
      </c>
      <c r="B16" s="65">
        <v>2014.0</v>
      </c>
      <c r="C16" s="66">
        <v>3528712.0</v>
      </c>
      <c r="D16" s="49">
        <f t="array" ref="D16">C16 / XLOOKUP(B16, india_reference!A:A, india_reference!B:B)</f>
        <v>0.5157120879</v>
      </c>
    </row>
    <row r="17">
      <c r="A17" s="64" t="s">
        <v>160</v>
      </c>
      <c r="B17" s="65">
        <v>2015.0</v>
      </c>
      <c r="C17" s="66">
        <v>3673942.0</v>
      </c>
      <c r="D17" s="49">
        <f t="array" ref="D17">C17 / XLOOKUP(B17, india_reference!A:A, india_reference!B:B)</f>
        <v>0.5253824205</v>
      </c>
    </row>
    <row r="18">
      <c r="A18" s="64" t="s">
        <v>160</v>
      </c>
      <c r="B18" s="65">
        <v>2016.0</v>
      </c>
      <c r="C18" s="66">
        <v>3658033.0</v>
      </c>
      <c r="D18" s="49">
        <f t="array" ref="D18">C18 / XLOOKUP(B18, india_reference!A:A, india_reference!B:B)</f>
        <v>0.5027671184</v>
      </c>
    </row>
    <row r="19">
      <c r="A19" s="64" t="s">
        <v>160</v>
      </c>
      <c r="B19" s="65">
        <v>2017.0</v>
      </c>
      <c r="C19" s="66">
        <v>3763144.0</v>
      </c>
      <c r="D19" s="49">
        <f t="array" ref="D19">C19 / XLOOKUP(B19, india_reference!A:A, india_reference!B:B)</f>
        <v>0.4923283834</v>
      </c>
    </row>
    <row r="20">
      <c r="A20" s="64" t="s">
        <v>160</v>
      </c>
      <c r="B20" s="65">
        <v>2018.0</v>
      </c>
      <c r="C20" s="66">
        <v>3997365.0</v>
      </c>
      <c r="D20" s="49">
        <f t="array" ref="D20">C20 / XLOOKUP(B20, india_reference!A:A, india_reference!B:B)</f>
        <v>0.5098554334</v>
      </c>
    </row>
    <row r="21">
      <c r="A21" s="64" t="s">
        <v>160</v>
      </c>
      <c r="B21" s="65">
        <v>2019.0</v>
      </c>
      <c r="C21" s="66">
        <v>3686276.0</v>
      </c>
      <c r="D21" s="49">
        <f t="array" ref="D21">C21 / XLOOKUP(B21, india_reference!A:A, india_reference!B:B)</f>
        <v>0.4664237379</v>
      </c>
    </row>
    <row r="22">
      <c r="A22" s="64" t="s">
        <v>160</v>
      </c>
      <c r="B22" s="65">
        <v>2020.0</v>
      </c>
      <c r="C22" s="66">
        <v>3823630.0</v>
      </c>
      <c r="D22" s="49">
        <f t="array" ref="D22">C22 / XLOOKUP(B22, india_reference!A:A, india_reference!B:B)</f>
        <v>0.4727937967</v>
      </c>
    </row>
    <row r="23">
      <c r="A23" s="64" t="s">
        <v>160</v>
      </c>
      <c r="B23" s="65">
        <v>2021.0</v>
      </c>
      <c r="C23" s="66">
        <v>3921115.0</v>
      </c>
      <c r="D23" s="49">
        <f t="array" ref="D23">C23 / XLOOKUP(B23, india_reference!A:A, india_reference!B:B)</f>
        <v>0.4717688153</v>
      </c>
    </row>
    <row r="24">
      <c r="A24" s="64" t="s">
        <v>160</v>
      </c>
      <c r="B24" s="65">
        <v>2022.0</v>
      </c>
      <c r="C24" s="66">
        <v>3746427.0</v>
      </c>
      <c r="D24" s="49">
        <f t="array" ref="D24">C24 / XLOOKUP(B24, india_reference!A:A, india_reference!B:B)</f>
        <v>0.4353717472</v>
      </c>
    </row>
    <row r="25">
      <c r="A25" s="64" t="s">
        <v>160</v>
      </c>
      <c r="B25" s="65">
        <v>2023.0</v>
      </c>
      <c r="C25" s="66">
        <v>4094585.0</v>
      </c>
      <c r="D25" s="49">
        <f t="array" ref="D25">C25 / XLOOKUP(B25, india_reference!A:A, india_reference!B:B)</f>
        <v>0.4758309728</v>
      </c>
    </row>
    <row r="26">
      <c r="A26" s="64" t="s">
        <v>161</v>
      </c>
      <c r="B26" s="65">
        <v>2000.0</v>
      </c>
      <c r="C26" s="66">
        <v>2814907.0</v>
      </c>
      <c r="D26" s="49">
        <f t="array" ref="D26">C26 / XLOOKUP(B26, india_reference!A:A, india_reference!B:B)</f>
        <v>0.5344522329</v>
      </c>
    </row>
    <row r="27">
      <c r="A27" s="64" t="s">
        <v>161</v>
      </c>
      <c r="B27" s="65">
        <v>2001.0</v>
      </c>
      <c r="C27" s="66">
        <v>2768491.0</v>
      </c>
      <c r="D27" s="49">
        <f t="array" ref="D27">C27 / XLOOKUP(B27, india_reference!A:A, india_reference!B:B)</f>
        <v>0.517814291</v>
      </c>
    </row>
    <row r="28">
      <c r="A28" s="64" t="s">
        <v>161</v>
      </c>
      <c r="B28" s="65">
        <v>2002.0</v>
      </c>
      <c r="C28" s="66">
        <v>2861712.0</v>
      </c>
      <c r="D28" s="49">
        <f t="array" ref="D28">C28 / XLOOKUP(B28, india_reference!A:A, india_reference!B:B)</f>
        <v>0.5323883574</v>
      </c>
    </row>
    <row r="29">
      <c r="A29" s="64" t="s">
        <v>161</v>
      </c>
      <c r="B29" s="65">
        <v>2003.0</v>
      </c>
      <c r="C29" s="66">
        <v>2940658.0</v>
      </c>
      <c r="D29" s="49">
        <f t="array" ref="D29">C29 / XLOOKUP(B29, india_reference!A:A, india_reference!B:B)</f>
        <v>0.5404185837</v>
      </c>
    </row>
    <row r="30">
      <c r="A30" s="64" t="s">
        <v>161</v>
      </c>
      <c r="B30" s="65">
        <v>2004.0</v>
      </c>
      <c r="C30" s="66">
        <v>3055133.0</v>
      </c>
      <c r="D30" s="49">
        <f t="array" ref="D30">C30 / XLOOKUP(B30, india_reference!A:A, india_reference!B:B)</f>
        <v>0.5495188457</v>
      </c>
    </row>
    <row r="31">
      <c r="A31" s="64" t="s">
        <v>161</v>
      </c>
      <c r="B31" s="65">
        <v>2005.0</v>
      </c>
      <c r="C31" s="66">
        <v>3064207.0</v>
      </c>
      <c r="D31" s="49">
        <f t="array" ref="D31">C31 / XLOOKUP(B31, india_reference!A:A, india_reference!B:B)</f>
        <v>0.5425851907</v>
      </c>
    </row>
    <row r="32">
      <c r="A32" s="64" t="s">
        <v>161</v>
      </c>
      <c r="B32" s="65">
        <v>2006.0</v>
      </c>
      <c r="C32" s="66">
        <v>3130142.0</v>
      </c>
      <c r="D32" s="49">
        <f t="array" ref="D32">C32 / XLOOKUP(B32, india_reference!A:A, india_reference!B:B)</f>
        <v>0.5411223994</v>
      </c>
    </row>
    <row r="33">
      <c r="A33" s="64" t="s">
        <v>161</v>
      </c>
      <c r="B33" s="65">
        <v>2007.0</v>
      </c>
      <c r="C33" s="66">
        <v>3299192.0</v>
      </c>
      <c r="D33" s="49">
        <f t="array" ref="D33">C33 / XLOOKUP(B33, india_reference!A:A, india_reference!B:B)</f>
        <v>0.5571470597</v>
      </c>
    </row>
    <row r="34">
      <c r="A34" s="64" t="s">
        <v>161</v>
      </c>
      <c r="B34" s="65">
        <v>2008.0</v>
      </c>
      <c r="C34" s="66">
        <v>3341451.0</v>
      </c>
      <c r="D34" s="49">
        <f t="array" ref="D34">C34 / XLOOKUP(B34, india_reference!A:A, india_reference!B:B)</f>
        <v>0.556149171</v>
      </c>
    </row>
    <row r="35">
      <c r="A35" s="64" t="s">
        <v>161</v>
      </c>
      <c r="B35" s="65">
        <v>2009.0</v>
      </c>
      <c r="C35" s="66">
        <v>3375385.0</v>
      </c>
      <c r="D35" s="49">
        <f t="array" ref="D35">C35 / XLOOKUP(B35, india_reference!A:A, india_reference!B:B)</f>
        <v>0.5531697765</v>
      </c>
    </row>
    <row r="36">
      <c r="A36" s="64" t="s">
        <v>161</v>
      </c>
      <c r="B36" s="65">
        <v>2010.0</v>
      </c>
      <c r="C36" s="66">
        <v>3397220.0</v>
      </c>
      <c r="D36" s="49">
        <f t="array" ref="D36">C36 / XLOOKUP(B36, india_reference!A:A, india_reference!B:B)</f>
        <v>0.5405517217</v>
      </c>
    </row>
    <row r="37">
      <c r="A37" s="64" t="s">
        <v>161</v>
      </c>
      <c r="B37" s="65">
        <v>2011.0</v>
      </c>
      <c r="C37" s="66">
        <v>3469588.0</v>
      </c>
      <c r="D37" s="49">
        <f t="array" ref="D37">C37 / XLOOKUP(B37, india_reference!A:A, india_reference!B:B)</f>
        <v>0.5447192228</v>
      </c>
    </row>
    <row r="38">
      <c r="A38" s="64" t="s">
        <v>161</v>
      </c>
      <c r="B38" s="65">
        <v>2012.0</v>
      </c>
      <c r="C38" s="66">
        <v>3613109.0</v>
      </c>
      <c r="D38" s="49">
        <f t="array" ref="D38">C38 / XLOOKUP(B38, india_reference!A:A, india_reference!B:B)</f>
        <v>0.5573238833</v>
      </c>
    </row>
    <row r="39">
      <c r="A39" s="64" t="s">
        <v>161</v>
      </c>
      <c r="B39" s="65">
        <v>2013.0</v>
      </c>
      <c r="C39" s="66">
        <v>3780523.0</v>
      </c>
      <c r="D39" s="49">
        <f t="array" ref="D39">C39 / XLOOKUP(B39, india_reference!A:A, india_reference!B:B)</f>
        <v>0.5657590433</v>
      </c>
    </row>
    <row r="40">
      <c r="A40" s="64" t="s">
        <v>161</v>
      </c>
      <c r="B40" s="65">
        <v>2014.0</v>
      </c>
      <c r="C40" s="66">
        <v>4062145.0</v>
      </c>
      <c r="D40" s="49">
        <f t="array" ref="D40">C40 / XLOOKUP(B40, india_reference!A:A, india_reference!B:B)</f>
        <v>0.5936719345</v>
      </c>
    </row>
    <row r="41">
      <c r="A41" s="64" t="s">
        <v>161</v>
      </c>
      <c r="B41" s="65">
        <v>2015.0</v>
      </c>
      <c r="C41" s="66">
        <v>4194073.0</v>
      </c>
      <c r="D41" s="49">
        <f t="array" ref="D41">C41 / XLOOKUP(B41, india_reference!A:A, india_reference!B:B)</f>
        <v>0.5997623873</v>
      </c>
    </row>
    <row r="42">
      <c r="A42" s="64" t="s">
        <v>161</v>
      </c>
      <c r="B42" s="65">
        <v>2016.0</v>
      </c>
      <c r="C42" s="66">
        <v>4474981.0</v>
      </c>
      <c r="D42" s="49">
        <f t="array" ref="D42">C42 / XLOOKUP(B42, india_reference!A:A, india_reference!B:B)</f>
        <v>0.6150500289</v>
      </c>
    </row>
    <row r="43">
      <c r="A43" s="64" t="s">
        <v>161</v>
      </c>
      <c r="B43" s="65">
        <v>2017.0</v>
      </c>
      <c r="C43" s="66">
        <v>4677750.0</v>
      </c>
      <c r="D43" s="49">
        <f t="array" ref="D43">C43 / XLOOKUP(B43, india_reference!A:A, india_reference!B:B)</f>
        <v>0.6119853759</v>
      </c>
    </row>
    <row r="44">
      <c r="A44" s="64" t="s">
        <v>161</v>
      </c>
      <c r="B44" s="65">
        <v>2018.0</v>
      </c>
      <c r="C44" s="66">
        <v>4806112.0</v>
      </c>
      <c r="D44" s="49">
        <f t="array" ref="D44">C44 / XLOOKUP(B44, india_reference!A:A, india_reference!B:B)</f>
        <v>0.6130093991</v>
      </c>
    </row>
    <row r="45">
      <c r="A45" s="64" t="s">
        <v>161</v>
      </c>
      <c r="B45" s="65">
        <v>2019.0</v>
      </c>
      <c r="C45" s="66">
        <v>4899205.0</v>
      </c>
      <c r="D45" s="49">
        <f t="array" ref="D45">C45 / XLOOKUP(B45, india_reference!A:A, india_reference!B:B)</f>
        <v>0.6198953928</v>
      </c>
    </row>
    <row r="46">
      <c r="A46" s="64" t="s">
        <v>161</v>
      </c>
      <c r="B46" s="65">
        <v>2020.0</v>
      </c>
      <c r="C46" s="66">
        <v>4935299.0</v>
      </c>
      <c r="D46" s="49">
        <f t="array" ref="D46">C46 / XLOOKUP(B46, india_reference!A:A, india_reference!B:B)</f>
        <v>0.6102522347</v>
      </c>
    </row>
    <row r="47">
      <c r="A47" s="64" t="s">
        <v>161</v>
      </c>
      <c r="B47" s="65">
        <v>2021.0</v>
      </c>
      <c r="C47" s="66">
        <v>5170019.0</v>
      </c>
      <c r="D47" s="49">
        <f t="array" ref="D47">C47 / XLOOKUP(B47, india_reference!A:A, india_reference!B:B)</f>
        <v>0.6220306567</v>
      </c>
    </row>
    <row r="48">
      <c r="A48" s="64" t="s">
        <v>161</v>
      </c>
      <c r="B48" s="65">
        <v>2022.0</v>
      </c>
      <c r="C48" s="66">
        <v>5228718.0</v>
      </c>
      <c r="D48" s="49">
        <f t="array" ref="D48">C48 / XLOOKUP(B48, india_reference!A:A, india_reference!B:B)</f>
        <v>0.6076285728</v>
      </c>
    </row>
    <row r="49">
      <c r="A49" s="64" t="s">
        <v>161</v>
      </c>
      <c r="B49" s="65">
        <v>2023.0</v>
      </c>
      <c r="C49" s="66">
        <v>5228718.0</v>
      </c>
      <c r="D49" s="49">
        <f t="array" ref="D49">C49 / XLOOKUP(B49, india_reference!A:A, india_reference!B:B)</f>
        <v>0.607628361</v>
      </c>
    </row>
    <row r="50">
      <c r="A50" s="64" t="s">
        <v>162</v>
      </c>
      <c r="B50" s="65">
        <v>2000.0</v>
      </c>
      <c r="C50" s="66">
        <v>229413.4</v>
      </c>
      <c r="D50" s="49">
        <f t="array" ref="D50">C50 / XLOOKUP(B50, india_reference!A:A, india_reference!B:B)</f>
        <v>0.04355756829</v>
      </c>
    </row>
    <row r="51">
      <c r="A51" s="64" t="s">
        <v>162</v>
      </c>
      <c r="B51" s="65">
        <v>2001.0</v>
      </c>
      <c r="C51" s="66">
        <v>246017.6</v>
      </c>
      <c r="D51" s="49">
        <f t="array" ref="D51">C51 / XLOOKUP(B51, india_reference!A:A, india_reference!B:B)</f>
        <v>0.04601475285</v>
      </c>
    </row>
    <row r="52">
      <c r="A52" s="64" t="s">
        <v>162</v>
      </c>
      <c r="B52" s="65">
        <v>2002.0</v>
      </c>
      <c r="C52" s="66">
        <v>271116.0</v>
      </c>
      <c r="D52" s="49">
        <f t="array" ref="D52">C52 / XLOOKUP(B52, india_reference!A:A, india_reference!B:B)</f>
        <v>0.05043799023</v>
      </c>
    </row>
    <row r="53">
      <c r="A53" s="64" t="s">
        <v>162</v>
      </c>
      <c r="B53" s="65">
        <v>2003.0</v>
      </c>
      <c r="C53" s="66">
        <v>368237.2</v>
      </c>
      <c r="D53" s="49">
        <f t="array" ref="D53">C53 / XLOOKUP(B53, india_reference!A:A, india_reference!B:B)</f>
        <v>0.06767268621</v>
      </c>
    </row>
    <row r="54">
      <c r="A54" s="64" t="s">
        <v>162</v>
      </c>
      <c r="B54" s="65">
        <v>2004.0</v>
      </c>
      <c r="C54" s="66">
        <v>422615.0</v>
      </c>
      <c r="D54" s="49">
        <f t="array" ref="D54">C54 / XLOOKUP(B54, india_reference!A:A, india_reference!B:B)</f>
        <v>0.07601466351</v>
      </c>
    </row>
    <row r="55">
      <c r="A55" s="64" t="s">
        <v>162</v>
      </c>
      <c r="B55" s="65">
        <v>2005.0</v>
      </c>
      <c r="C55" s="66">
        <v>475853.0</v>
      </c>
      <c r="D55" s="49">
        <f t="array" ref="D55">C55 / XLOOKUP(B55, india_reference!A:A, india_reference!B:B)</f>
        <v>0.08426023135</v>
      </c>
    </row>
    <row r="56">
      <c r="A56" s="64" t="s">
        <v>162</v>
      </c>
      <c r="B56" s="65">
        <v>2006.0</v>
      </c>
      <c r="C56" s="66">
        <v>600145.6</v>
      </c>
      <c r="D56" s="49">
        <f t="array" ref="D56">C56 / XLOOKUP(B56, india_reference!A:A, india_reference!B:B)</f>
        <v>0.1037499983</v>
      </c>
    </row>
    <row r="57">
      <c r="A57" s="64" t="s">
        <v>162</v>
      </c>
      <c r="B57" s="65">
        <v>2007.0</v>
      </c>
      <c r="C57" s="66">
        <v>693109.6</v>
      </c>
      <c r="D57" s="49">
        <f t="array" ref="D57">C57 / XLOOKUP(B57, india_reference!A:A, india_reference!B:B)</f>
        <v>0.1170480456</v>
      </c>
    </row>
    <row r="58">
      <c r="A58" s="64" t="s">
        <v>162</v>
      </c>
      <c r="B58" s="65">
        <v>2008.0</v>
      </c>
      <c r="C58" s="66">
        <v>754220.8</v>
      </c>
      <c r="D58" s="49">
        <f t="array" ref="D58">C58 / XLOOKUP(B58, india_reference!A:A, india_reference!B:B)</f>
        <v>0.1255320735</v>
      </c>
    </row>
    <row r="59">
      <c r="A59" s="64" t="s">
        <v>162</v>
      </c>
      <c r="B59" s="65">
        <v>2009.0</v>
      </c>
      <c r="C59" s="66">
        <v>758615.8</v>
      </c>
      <c r="D59" s="49">
        <f t="array" ref="D59">C59 / XLOOKUP(B59, india_reference!A:A, india_reference!B:B)</f>
        <v>0.124324583</v>
      </c>
    </row>
    <row r="60">
      <c r="A60" s="64" t="s">
        <v>162</v>
      </c>
      <c r="B60" s="65">
        <v>2010.0</v>
      </c>
      <c r="C60" s="66">
        <v>889252.0</v>
      </c>
      <c r="D60" s="49">
        <f t="array" ref="D60">C60 / XLOOKUP(B60, india_reference!A:A, india_reference!B:B)</f>
        <v>0.1414941333</v>
      </c>
    </row>
    <row r="61">
      <c r="A61" s="64" t="s">
        <v>162</v>
      </c>
      <c r="B61" s="65">
        <v>2011.0</v>
      </c>
      <c r="C61" s="66">
        <v>876268.8</v>
      </c>
      <c r="D61" s="49">
        <f t="array" ref="D61">C61 / XLOOKUP(B61, india_reference!A:A, india_reference!B:B)</f>
        <v>0.1375726627</v>
      </c>
    </row>
    <row r="62">
      <c r="A62" s="64" t="s">
        <v>162</v>
      </c>
      <c r="B62" s="65">
        <v>2012.0</v>
      </c>
      <c r="C62" s="66">
        <v>975481.2</v>
      </c>
      <c r="D62" s="49">
        <f t="array" ref="D62">C62 / XLOOKUP(B62, india_reference!A:A, india_reference!B:B)</f>
        <v>0.1504684665</v>
      </c>
    </row>
    <row r="63">
      <c r="A63" s="64" t="s">
        <v>162</v>
      </c>
      <c r="B63" s="65">
        <v>2013.0</v>
      </c>
      <c r="C63" s="66">
        <v>982784.6</v>
      </c>
      <c r="D63" s="49">
        <f t="array" ref="D63">C63 / XLOOKUP(B63, india_reference!A:A, india_reference!B:B)</f>
        <v>0.1470746971</v>
      </c>
    </row>
    <row r="64">
      <c r="A64" s="64" t="s">
        <v>162</v>
      </c>
      <c r="B64" s="65">
        <v>2014.0</v>
      </c>
      <c r="C64" s="66">
        <v>951802.2</v>
      </c>
      <c r="D64" s="49">
        <f t="array" ref="D64">C64 / XLOOKUP(B64, india_reference!A:A, india_reference!B:B)</f>
        <v>0.1391034178</v>
      </c>
    </row>
    <row r="65">
      <c r="A65" s="64" t="s">
        <v>162</v>
      </c>
      <c r="B65" s="65">
        <v>2015.0</v>
      </c>
      <c r="C65" s="66">
        <v>965693.8</v>
      </c>
      <c r="D65" s="49">
        <f t="array" ref="D65">C65 / XLOOKUP(B65, india_reference!A:A, india_reference!B:B)</f>
        <v>0.138096504</v>
      </c>
    </row>
    <row r="66">
      <c r="A66" s="64" t="s">
        <v>162</v>
      </c>
      <c r="B66" s="65">
        <v>2016.0</v>
      </c>
      <c r="C66" s="66">
        <v>951269.2</v>
      </c>
      <c r="D66" s="49">
        <f t="array" ref="D66">C66 / XLOOKUP(B66, india_reference!A:A, india_reference!B:B)</f>
        <v>0.1307442755</v>
      </c>
    </row>
    <row r="67">
      <c r="A67" s="64" t="s">
        <v>162</v>
      </c>
      <c r="B67" s="65">
        <v>2017.0</v>
      </c>
      <c r="C67" s="66">
        <v>961403.2</v>
      </c>
      <c r="D67" s="49">
        <f t="array" ref="D67">C67 / XLOOKUP(B67, india_reference!A:A, india_reference!B:B)</f>
        <v>0.1257794236</v>
      </c>
    </row>
    <row r="68">
      <c r="A68" s="64" t="s">
        <v>162</v>
      </c>
      <c r="B68" s="65">
        <v>2018.0</v>
      </c>
      <c r="C68" s="66">
        <v>979924.2</v>
      </c>
      <c r="D68" s="49">
        <f t="array" ref="D68">C68 / XLOOKUP(B68, india_reference!A:A, india_reference!B:B)</f>
        <v>0.1249872548</v>
      </c>
    </row>
    <row r="69">
      <c r="A69" s="64" t="s">
        <v>162</v>
      </c>
      <c r="B69" s="65">
        <v>2019.0</v>
      </c>
      <c r="C69" s="66">
        <v>1001279.0</v>
      </c>
      <c r="D69" s="49">
        <f t="array" ref="D69">C69 / XLOOKUP(B69, india_reference!A:A, india_reference!B:B)</f>
        <v>0.1266916242</v>
      </c>
    </row>
    <row r="70">
      <c r="A70" s="64" t="s">
        <v>162</v>
      </c>
      <c r="B70" s="65">
        <v>2020.0</v>
      </c>
      <c r="C70" s="66">
        <v>987677.6</v>
      </c>
      <c r="D70" s="49">
        <f t="array" ref="D70">C70 / XLOOKUP(B70, india_reference!A:A, india_reference!B:B)</f>
        <v>0.1221268382</v>
      </c>
    </row>
    <row r="71">
      <c r="A71" s="64" t="s">
        <v>162</v>
      </c>
      <c r="B71" s="65">
        <v>2021.0</v>
      </c>
      <c r="C71" s="66">
        <v>1067313.0</v>
      </c>
      <c r="D71" s="49">
        <f t="array" ref="D71">C71 / XLOOKUP(B71, india_reference!A:A, india_reference!B:B)</f>
        <v>0.1284137266</v>
      </c>
    </row>
    <row r="72">
      <c r="A72" s="64" t="s">
        <v>162</v>
      </c>
      <c r="B72" s="65">
        <v>2022.0</v>
      </c>
      <c r="C72" s="66">
        <v>1083270.0</v>
      </c>
      <c r="D72" s="49">
        <f t="array" ref="D72">C72 / XLOOKUP(B72, india_reference!A:A, india_reference!B:B)</f>
        <v>0.1258866522</v>
      </c>
    </row>
    <row r="73">
      <c r="A73" s="64" t="s">
        <v>162</v>
      </c>
      <c r="B73" s="65">
        <v>2023.0</v>
      </c>
      <c r="C73" s="66">
        <v>1080125.0</v>
      </c>
      <c r="D73" s="49">
        <f t="array" ref="D73">C73 / XLOOKUP(B73, india_reference!A:A, india_reference!B:B)</f>
        <v>0.1255211284</v>
      </c>
    </row>
    <row r="74">
      <c r="A74" s="64" t="s">
        <v>81</v>
      </c>
      <c r="B74" s="65">
        <v>2000.0</v>
      </c>
      <c r="C74" s="66">
        <v>5266901.0</v>
      </c>
      <c r="D74" s="49">
        <f t="array" ref="D74">C74 / XLOOKUP(B74, india_reference!A:A, india_reference!B:B)</f>
        <v>1</v>
      </c>
    </row>
    <row r="75">
      <c r="A75" s="64" t="s">
        <v>81</v>
      </c>
      <c r="B75" s="65">
        <v>2001.0</v>
      </c>
      <c r="C75" s="66">
        <v>5346494.0</v>
      </c>
      <c r="D75" s="49">
        <f t="array" ref="D75">C75 / XLOOKUP(B75, india_reference!A:A, india_reference!B:B)</f>
        <v>1</v>
      </c>
    </row>
    <row r="76">
      <c r="A76" s="64" t="s">
        <v>81</v>
      </c>
      <c r="B76" s="65">
        <v>2002.0</v>
      </c>
      <c r="C76" s="66">
        <v>5375234.0</v>
      </c>
      <c r="D76" s="49">
        <f t="array" ref="D76">C76 / XLOOKUP(B76, india_reference!A:A, india_reference!B:B)</f>
        <v>1</v>
      </c>
    </row>
    <row r="77">
      <c r="A77" s="64" t="s">
        <v>81</v>
      </c>
      <c r="B77" s="65">
        <v>2003.0</v>
      </c>
      <c r="C77" s="66">
        <v>5441445.0</v>
      </c>
      <c r="D77" s="49">
        <f t="array" ref="D77">C77 / XLOOKUP(B77, india_reference!A:A, india_reference!B:B)</f>
        <v>1</v>
      </c>
    </row>
    <row r="78">
      <c r="A78" s="64" t="s">
        <v>81</v>
      </c>
      <c r="B78" s="65">
        <v>2004.0</v>
      </c>
      <c r="C78" s="66">
        <v>5559651.0</v>
      </c>
      <c r="D78" s="49">
        <f t="array" ref="D78">C78 / XLOOKUP(B78, india_reference!A:A, india_reference!B:B)</f>
        <v>1</v>
      </c>
    </row>
    <row r="79">
      <c r="A79" s="64" t="s">
        <v>81</v>
      </c>
      <c r="B79" s="65">
        <v>2005.0</v>
      </c>
      <c r="C79" s="66">
        <v>5647421.0</v>
      </c>
      <c r="D79" s="49">
        <f t="array" ref="D79">C79 / XLOOKUP(B79, india_reference!A:A, india_reference!B:B)</f>
        <v>1</v>
      </c>
    </row>
    <row r="80">
      <c r="A80" s="64" t="s">
        <v>81</v>
      </c>
      <c r="B80" s="65">
        <v>2006.0</v>
      </c>
      <c r="C80" s="66">
        <v>5784536.0</v>
      </c>
      <c r="D80" s="49">
        <f t="array" ref="D80">C80 / XLOOKUP(B80, india_reference!A:A, india_reference!B:B)</f>
        <v>1</v>
      </c>
    </row>
    <row r="81">
      <c r="A81" s="64" t="s">
        <v>81</v>
      </c>
      <c r="B81" s="65">
        <v>2007.0</v>
      </c>
      <c r="C81" s="66">
        <v>5921582.0</v>
      </c>
      <c r="D81" s="49">
        <f t="array" ref="D81">C81 / XLOOKUP(B81, india_reference!A:A, india_reference!B:B)</f>
        <v>1</v>
      </c>
    </row>
    <row r="82">
      <c r="A82" s="64" t="s">
        <v>81</v>
      </c>
      <c r="B82" s="65">
        <v>2008.0</v>
      </c>
      <c r="C82" s="66">
        <v>6008192.0</v>
      </c>
      <c r="D82" s="49">
        <f t="array" ref="D82">C82 / XLOOKUP(B82, india_reference!A:A, india_reference!B:B)</f>
        <v>1</v>
      </c>
    </row>
    <row r="83">
      <c r="A83" s="64" t="s">
        <v>81</v>
      </c>
      <c r="B83" s="65">
        <v>2009.0</v>
      </c>
      <c r="C83" s="66">
        <v>6101897.0</v>
      </c>
      <c r="D83" s="49">
        <f t="array" ref="D83">C83 / XLOOKUP(B83, india_reference!A:A, india_reference!B:B)</f>
        <v>1</v>
      </c>
    </row>
    <row r="84">
      <c r="A84" s="64" t="s">
        <v>81</v>
      </c>
      <c r="B84" s="65">
        <v>2010.0</v>
      </c>
      <c r="C84" s="66">
        <v>6284727.0</v>
      </c>
      <c r="D84" s="49">
        <f t="array" ref="D84">C84 / XLOOKUP(B84, india_reference!A:A, india_reference!B:B)</f>
        <v>1</v>
      </c>
    </row>
    <row r="85">
      <c r="A85" s="64" t="s">
        <v>81</v>
      </c>
      <c r="B85" s="65">
        <v>2011.0</v>
      </c>
      <c r="C85" s="66">
        <v>6369498.0</v>
      </c>
      <c r="D85" s="49">
        <f t="array" ref="D85">C85 / XLOOKUP(B85, india_reference!A:A, india_reference!B:B)</f>
        <v>1</v>
      </c>
    </row>
    <row r="86">
      <c r="A86" s="64" t="s">
        <v>81</v>
      </c>
      <c r="B86" s="65">
        <v>2012.0</v>
      </c>
      <c r="C86" s="66">
        <v>6482961.0</v>
      </c>
      <c r="D86" s="49">
        <f t="array" ref="D86">C86 / XLOOKUP(B86, india_reference!A:A, india_reference!B:B)</f>
        <v>1</v>
      </c>
    </row>
    <row r="87">
      <c r="A87" s="64" t="s">
        <v>81</v>
      </c>
      <c r="B87" s="65">
        <v>2013.0</v>
      </c>
      <c r="C87" s="66">
        <v>6682214.0</v>
      </c>
      <c r="D87" s="49">
        <f t="array" ref="D87">C87 / XLOOKUP(B87, india_reference!A:A, india_reference!B:B)</f>
        <v>1</v>
      </c>
    </row>
    <row r="88">
      <c r="A88" s="64" t="s">
        <v>81</v>
      </c>
      <c r="B88" s="65">
        <v>2014.0</v>
      </c>
      <c r="C88" s="66">
        <v>6842407.0</v>
      </c>
      <c r="D88" s="49">
        <f t="array" ref="D88">C88 / XLOOKUP(B88, india_reference!A:A, india_reference!B:B)</f>
        <v>1</v>
      </c>
    </row>
    <row r="89">
      <c r="A89" s="64" t="s">
        <v>81</v>
      </c>
      <c r="B89" s="65">
        <v>2015.0</v>
      </c>
      <c r="C89" s="66">
        <v>6992891.0</v>
      </c>
      <c r="D89" s="49">
        <f t="array" ref="D89">C89 / XLOOKUP(B89, india_reference!A:A, india_reference!B:B)</f>
        <v>1</v>
      </c>
    </row>
    <row r="90">
      <c r="A90" s="64" t="s">
        <v>81</v>
      </c>
      <c r="B90" s="65">
        <v>2016.0</v>
      </c>
      <c r="C90" s="66">
        <v>7275800.0</v>
      </c>
      <c r="D90" s="49">
        <f t="array" ref="D90">C90 / XLOOKUP(B90, india_reference!A:A, india_reference!B:B)</f>
        <v>1</v>
      </c>
    </row>
    <row r="91">
      <c r="A91" s="64" t="s">
        <v>81</v>
      </c>
      <c r="B91" s="65">
        <v>2017.0</v>
      </c>
      <c r="C91" s="66">
        <v>7643565.0</v>
      </c>
      <c r="D91" s="49">
        <f t="array" ref="D91">C91 / XLOOKUP(B91, india_reference!A:A, india_reference!B:B)</f>
        <v>1</v>
      </c>
    </row>
    <row r="92">
      <c r="A92" s="64" t="s">
        <v>81</v>
      </c>
      <c r="B92" s="65">
        <v>2018.0</v>
      </c>
      <c r="C92" s="66">
        <v>7840193.0</v>
      </c>
      <c r="D92" s="49">
        <f t="array" ref="D92">C92 / XLOOKUP(B92, india_reference!A:A, india_reference!B:B)</f>
        <v>1</v>
      </c>
    </row>
    <row r="93">
      <c r="A93" s="64" t="s">
        <v>81</v>
      </c>
      <c r="B93" s="65">
        <v>2019.0</v>
      </c>
      <c r="C93" s="66">
        <v>7903277.0</v>
      </c>
      <c r="D93" s="49">
        <f t="array" ref="D93">C93 / XLOOKUP(B93, india_reference!A:A, india_reference!B:B)</f>
        <v>1</v>
      </c>
    </row>
    <row r="94">
      <c r="A94" s="64" t="s">
        <v>81</v>
      </c>
      <c r="B94" s="65">
        <v>2020.0</v>
      </c>
      <c r="C94" s="66">
        <v>8087310.0</v>
      </c>
      <c r="D94" s="49">
        <f t="array" ref="D94">C94 / XLOOKUP(B94, india_reference!A:A, india_reference!B:B)</f>
        <v>1</v>
      </c>
    </row>
    <row r="95">
      <c r="A95" s="64" t="s">
        <v>81</v>
      </c>
      <c r="B95" s="65">
        <v>2021.0</v>
      </c>
      <c r="C95" s="66">
        <v>8311518.0</v>
      </c>
      <c r="D95" s="49">
        <f t="array" ref="D95">C95 / XLOOKUP(B95, india_reference!A:A, india_reference!B:B)</f>
        <v>1</v>
      </c>
    </row>
    <row r="96">
      <c r="A96" s="64" t="s">
        <v>81</v>
      </c>
      <c r="B96" s="65">
        <v>2022.0</v>
      </c>
      <c r="C96" s="66">
        <v>8605122.0</v>
      </c>
      <c r="D96" s="49">
        <f t="array" ref="D96">C96 / XLOOKUP(B96, india_reference!A:A, india_reference!B:B)</f>
        <v>1</v>
      </c>
    </row>
    <row r="97">
      <c r="A97" s="64" t="s">
        <v>81</v>
      </c>
      <c r="B97" s="65">
        <v>2023.0</v>
      </c>
      <c r="C97" s="66">
        <v>8605125.0</v>
      </c>
      <c r="D97" s="49">
        <f t="array" ref="D97">C97 / XLOOKUP(B97, india_reference!A:A, india_reference!B:B)</f>
        <v>1</v>
      </c>
    </row>
    <row r="98">
      <c r="A98" s="64" t="s">
        <v>163</v>
      </c>
      <c r="B98" s="65">
        <v>2000.0</v>
      </c>
      <c r="C98" s="66">
        <v>2138228.0</v>
      </c>
      <c r="D98" s="49">
        <f t="array" ref="D98">C98 / XLOOKUP(B98, india_reference!A:A, india_reference!B:B)</f>
        <v>0.4059745949</v>
      </c>
    </row>
    <row r="99">
      <c r="A99" s="64" t="s">
        <v>163</v>
      </c>
      <c r="B99" s="65">
        <v>2001.0</v>
      </c>
      <c r="C99" s="66">
        <v>2138085.0</v>
      </c>
      <c r="D99" s="49">
        <f t="array" ref="D99">C99 / XLOOKUP(B99, india_reference!A:A, india_reference!B:B)</f>
        <v>0.3999041241</v>
      </c>
    </row>
    <row r="100">
      <c r="A100" s="64" t="s">
        <v>163</v>
      </c>
      <c r="B100" s="65">
        <v>2002.0</v>
      </c>
      <c r="C100" s="66">
        <v>2151231.0</v>
      </c>
      <c r="D100" s="49">
        <f t="array" ref="D100">C100 / XLOOKUP(B100, india_reference!A:A, india_reference!B:B)</f>
        <v>0.4002116001</v>
      </c>
    </row>
    <row r="101">
      <c r="A101" s="64" t="s">
        <v>163</v>
      </c>
      <c r="B101" s="65">
        <v>2003.0</v>
      </c>
      <c r="C101" s="66">
        <v>2149714.0</v>
      </c>
      <c r="D101" s="49">
        <f t="array" ref="D101">C101 / XLOOKUP(B101, india_reference!A:A, india_reference!B:B)</f>
        <v>0.3950630761</v>
      </c>
    </row>
    <row r="102">
      <c r="A102" s="64" t="s">
        <v>163</v>
      </c>
      <c r="B102" s="65">
        <v>2004.0</v>
      </c>
      <c r="C102" s="66">
        <v>2162507.0</v>
      </c>
      <c r="D102" s="49">
        <f t="array" ref="D102">C102 / XLOOKUP(B102, india_reference!A:A, india_reference!B:B)</f>
        <v>0.3889645231</v>
      </c>
    </row>
    <row r="103">
      <c r="A103" s="64" t="s">
        <v>163</v>
      </c>
      <c r="B103" s="65">
        <v>2005.0</v>
      </c>
      <c r="C103" s="66">
        <v>2159156.0</v>
      </c>
      <c r="D103" s="49">
        <f t="array" ref="D103">C103 / XLOOKUP(B103, india_reference!A:A, india_reference!B:B)</f>
        <v>0.382326021</v>
      </c>
    </row>
    <row r="104">
      <c r="A104" s="64" t="s">
        <v>163</v>
      </c>
      <c r="B104" s="65">
        <v>2006.0</v>
      </c>
      <c r="C104" s="66">
        <v>2202565.0</v>
      </c>
      <c r="D104" s="49">
        <f t="array" ref="D104">C104 / XLOOKUP(B104, india_reference!A:A, india_reference!B:B)</f>
        <v>0.3807677919</v>
      </c>
    </row>
    <row r="105">
      <c r="A105" s="64" t="s">
        <v>163</v>
      </c>
      <c r="B105" s="65">
        <v>2007.0</v>
      </c>
      <c r="C105" s="66">
        <v>2208443.0</v>
      </c>
      <c r="D105" s="49">
        <f t="array" ref="D105">C105 / XLOOKUP(B105, india_reference!A:A, india_reference!B:B)</f>
        <v>0.3729481412</v>
      </c>
    </row>
    <row r="106">
      <c r="A106" s="64" t="s">
        <v>163</v>
      </c>
      <c r="B106" s="65">
        <v>2008.0</v>
      </c>
      <c r="C106" s="66">
        <v>2216279.0</v>
      </c>
      <c r="D106" s="49">
        <f t="array" ref="D106">C106 / XLOOKUP(B106, india_reference!A:A, india_reference!B:B)</f>
        <v>0.3688761944</v>
      </c>
    </row>
    <row r="107">
      <c r="A107" s="64" t="s">
        <v>163</v>
      </c>
      <c r="B107" s="65">
        <v>2009.0</v>
      </c>
      <c r="C107" s="66">
        <v>2101782.0</v>
      </c>
      <c r="D107" s="49">
        <f t="array" ref="D107">C107 / XLOOKUP(B107, india_reference!A:A, india_reference!B:B)</f>
        <v>0.3444473088</v>
      </c>
    </row>
    <row r="108">
      <c r="A108" s="64" t="s">
        <v>163</v>
      </c>
      <c r="B108" s="65">
        <v>2010.0</v>
      </c>
      <c r="C108" s="66">
        <v>1990370.0</v>
      </c>
      <c r="D108" s="49">
        <f t="array" ref="D108">C108 / XLOOKUP(B108, india_reference!A:A, india_reference!B:B)</f>
        <v>0.3166995161</v>
      </c>
    </row>
    <row r="109">
      <c r="A109" s="64" t="s">
        <v>163</v>
      </c>
      <c r="B109" s="65">
        <v>2011.0</v>
      </c>
      <c r="C109" s="66">
        <v>1950001.0</v>
      </c>
      <c r="D109" s="49">
        <f t="array" ref="D109">C109 / XLOOKUP(B109, india_reference!A:A, india_reference!B:B)</f>
        <v>0.3061467324</v>
      </c>
    </row>
    <row r="110">
      <c r="A110" s="64" t="s">
        <v>163</v>
      </c>
      <c r="B110" s="65">
        <v>2012.0</v>
      </c>
      <c r="C110" s="66">
        <v>1878734.0</v>
      </c>
      <c r="D110" s="49">
        <f t="array" ref="D110">C110 / XLOOKUP(B110, india_reference!A:A, india_reference!B:B)</f>
        <v>0.2897956659</v>
      </c>
    </row>
    <row r="111">
      <c r="A111" s="64" t="s">
        <v>163</v>
      </c>
      <c r="B111" s="65">
        <v>2013.0</v>
      </c>
      <c r="C111" s="66">
        <v>1825221.0</v>
      </c>
      <c r="D111" s="49">
        <f t="array" ref="D111">C111 / XLOOKUP(B111, india_reference!A:A, india_reference!B:B)</f>
        <v>0.2731461459</v>
      </c>
    </row>
    <row r="112">
      <c r="A112" s="64" t="s">
        <v>163</v>
      </c>
      <c r="B112" s="65">
        <v>2014.0</v>
      </c>
      <c r="C112" s="66">
        <v>1799233.0</v>
      </c>
      <c r="D112" s="49">
        <f t="array" ref="D112">C112 / XLOOKUP(B112, india_reference!A:A, india_reference!B:B)</f>
        <v>0.2629532268</v>
      </c>
    </row>
    <row r="113">
      <c r="A113" s="64" t="s">
        <v>163</v>
      </c>
      <c r="B113" s="65">
        <v>2015.0</v>
      </c>
      <c r="C113" s="66">
        <v>1659018.0</v>
      </c>
      <c r="D113" s="49">
        <f t="array" ref="D113">C113 / XLOOKUP(B113, india_reference!A:A, india_reference!B:B)</f>
        <v>0.2372435092</v>
      </c>
    </row>
    <row r="114">
      <c r="A114" s="64" t="s">
        <v>163</v>
      </c>
      <c r="B114" s="65">
        <v>2016.0</v>
      </c>
      <c r="C114" s="66">
        <v>1640999.0</v>
      </c>
      <c r="D114" s="49">
        <f t="array" ref="D114">C114 / XLOOKUP(B114, india_reference!A:A, india_reference!B:B)</f>
        <v>0.225542071</v>
      </c>
    </row>
    <row r="115">
      <c r="A115" s="64" t="s">
        <v>163</v>
      </c>
      <c r="B115" s="65">
        <v>2017.0</v>
      </c>
      <c r="C115" s="66">
        <v>1581577.0</v>
      </c>
      <c r="D115" s="49">
        <f t="array" ref="D115">C115 / XLOOKUP(B115, india_reference!A:A, india_reference!B:B)</f>
        <v>0.2069161445</v>
      </c>
    </row>
    <row r="116">
      <c r="A116" s="64" t="s">
        <v>163</v>
      </c>
      <c r="B116" s="65">
        <v>2018.0</v>
      </c>
      <c r="C116" s="66">
        <v>1563829.0</v>
      </c>
      <c r="D116" s="49">
        <f t="array" ref="D116">C116 / XLOOKUP(B116, india_reference!A:A, india_reference!B:B)</f>
        <v>0.1994630744</v>
      </c>
    </row>
    <row r="117">
      <c r="A117" s="64" t="s">
        <v>163</v>
      </c>
      <c r="B117" s="65">
        <v>2019.0</v>
      </c>
      <c r="C117" s="66">
        <v>1693731.0</v>
      </c>
      <c r="D117" s="49">
        <f t="array" ref="D117">C117 / XLOOKUP(B117, india_reference!A:A, india_reference!B:B)</f>
        <v>0.2143074322</v>
      </c>
    </row>
    <row r="118">
      <c r="A118" s="64" t="s">
        <v>163</v>
      </c>
      <c r="B118" s="65">
        <v>2020.0</v>
      </c>
      <c r="C118" s="66">
        <v>1405524.0</v>
      </c>
      <c r="D118" s="49">
        <f t="array" ref="D118">C118 / XLOOKUP(B118, india_reference!A:A, india_reference!B:B)</f>
        <v>0.1737937584</v>
      </c>
    </row>
    <row r="119">
      <c r="A119" s="64" t="s">
        <v>163</v>
      </c>
      <c r="B119" s="65">
        <v>2021.0</v>
      </c>
      <c r="C119" s="66">
        <v>1368714.0</v>
      </c>
      <c r="D119" s="49">
        <f t="array" ref="D119">C119 / XLOOKUP(B119, india_reference!A:A, india_reference!B:B)</f>
        <v>0.1646767775</v>
      </c>
    </row>
    <row r="120">
      <c r="A120" s="64" t="s">
        <v>163</v>
      </c>
      <c r="B120" s="65">
        <v>2022.0</v>
      </c>
      <c r="C120" s="66">
        <v>1220661.0</v>
      </c>
      <c r="D120" s="49">
        <f t="array" ref="D120">C120 / XLOOKUP(B120, india_reference!A:A, india_reference!B:B)</f>
        <v>0.1418528407</v>
      </c>
    </row>
    <row r="121">
      <c r="A121" s="64" t="s">
        <v>163</v>
      </c>
      <c r="B121" s="65">
        <v>2023.0</v>
      </c>
      <c r="C121" s="66">
        <v>1220661.0</v>
      </c>
      <c r="D121" s="49">
        <f t="array" ref="D121">C121 / XLOOKUP(B121, india_reference!A:A, india_reference!B:B)</f>
        <v>0.1418527912</v>
      </c>
    </row>
    <row r="122">
      <c r="A122" s="64" t="s">
        <v>164</v>
      </c>
      <c r="B122" s="65">
        <v>2000.0</v>
      </c>
      <c r="C122" s="66">
        <v>88894.83</v>
      </c>
      <c r="D122" s="49">
        <f t="array" ref="D122">C122 / XLOOKUP(B122, india_reference!A:A, india_reference!B:B)</f>
        <v>0.01687801423</v>
      </c>
    </row>
    <row r="123">
      <c r="A123" s="64" t="s">
        <v>164</v>
      </c>
      <c r="B123" s="65">
        <v>2001.0</v>
      </c>
      <c r="C123" s="66">
        <v>87715.25</v>
      </c>
      <c r="D123" s="49">
        <f t="array" ref="D123">C123 / XLOOKUP(B123, india_reference!A:A, india_reference!B:B)</f>
        <v>0.01640612521</v>
      </c>
    </row>
    <row r="124">
      <c r="A124" s="64" t="s">
        <v>164</v>
      </c>
      <c r="B124" s="65">
        <v>2002.0</v>
      </c>
      <c r="C124" s="66">
        <v>121243.7</v>
      </c>
      <c r="D124" s="49">
        <f t="array" ref="D124">C124 / XLOOKUP(B124, india_reference!A:A, india_reference!B:B)</f>
        <v>0.02255598547</v>
      </c>
    </row>
    <row r="125">
      <c r="A125" s="64" t="s">
        <v>164</v>
      </c>
      <c r="B125" s="65">
        <v>2003.0</v>
      </c>
      <c r="C125" s="66">
        <v>180341.1</v>
      </c>
      <c r="D125" s="49">
        <f t="array" ref="D125">C125 / XLOOKUP(B125, india_reference!A:A, india_reference!B:B)</f>
        <v>0.03314213412</v>
      </c>
    </row>
    <row r="126">
      <c r="A126" s="64" t="s">
        <v>164</v>
      </c>
      <c r="B126" s="65">
        <v>2004.0</v>
      </c>
      <c r="C126" s="66">
        <v>148974.3</v>
      </c>
      <c r="D126" s="49">
        <f t="array" ref="D126">C126 / XLOOKUP(B126, india_reference!A:A, india_reference!B:B)</f>
        <v>0.0267956208</v>
      </c>
    </row>
    <row r="127">
      <c r="A127" s="64" t="s">
        <v>164</v>
      </c>
      <c r="B127" s="65">
        <v>2005.0</v>
      </c>
      <c r="C127" s="66">
        <v>215821.9</v>
      </c>
      <c r="D127" s="49">
        <f t="array" ref="D127">C127 / XLOOKUP(B127, india_reference!A:A, india_reference!B:B)</f>
        <v>0.03821601046</v>
      </c>
    </row>
    <row r="128">
      <c r="A128" s="64" t="s">
        <v>164</v>
      </c>
      <c r="B128" s="65">
        <v>2006.0</v>
      </c>
      <c r="C128" s="66">
        <v>232985.7</v>
      </c>
      <c r="D128" s="49">
        <f t="array" ref="D128">C128 / XLOOKUP(B128, india_reference!A:A, india_reference!B:B)</f>
        <v>0.04027733599</v>
      </c>
    </row>
    <row r="129">
      <c r="A129" s="64" t="s">
        <v>164</v>
      </c>
      <c r="B129" s="65">
        <v>2007.0</v>
      </c>
      <c r="C129" s="66">
        <v>310270.4</v>
      </c>
      <c r="D129" s="49">
        <f t="array" ref="D129">C129 / XLOOKUP(B129, india_reference!A:A, india_reference!B:B)</f>
        <v>0.05239653863</v>
      </c>
    </row>
    <row r="130">
      <c r="A130" s="64" t="s">
        <v>164</v>
      </c>
      <c r="B130" s="65">
        <v>2008.0</v>
      </c>
      <c r="C130" s="66">
        <v>394265.2</v>
      </c>
      <c r="D130" s="49">
        <f t="array" ref="D130">C130 / XLOOKUP(B130, india_reference!A:A, india_reference!B:B)</f>
        <v>0.06562127176</v>
      </c>
    </row>
    <row r="131">
      <c r="A131" s="64" t="s">
        <v>164</v>
      </c>
      <c r="B131" s="65">
        <v>2009.0</v>
      </c>
      <c r="C131" s="66">
        <v>381098.2</v>
      </c>
      <c r="D131" s="49">
        <f t="array" ref="D131">C131 / XLOOKUP(B131, india_reference!A:A, india_reference!B:B)</f>
        <v>0.06245569206</v>
      </c>
    </row>
    <row r="132">
      <c r="A132" s="64" t="s">
        <v>164</v>
      </c>
      <c r="B132" s="65">
        <v>2010.0</v>
      </c>
      <c r="C132" s="66">
        <v>348533.4</v>
      </c>
      <c r="D132" s="49">
        <f t="array" ref="D132">C132 / XLOOKUP(B132, india_reference!A:A, india_reference!B:B)</f>
        <v>0.05545720602</v>
      </c>
    </row>
    <row r="133">
      <c r="A133" s="64" t="s">
        <v>164</v>
      </c>
      <c r="B133" s="65">
        <v>2011.0</v>
      </c>
      <c r="C133" s="66">
        <v>271265.2</v>
      </c>
      <c r="D133" s="49">
        <f t="array" ref="D133">C133 / XLOOKUP(B133, india_reference!A:A, india_reference!B:B)</f>
        <v>0.04258816001</v>
      </c>
    </row>
    <row r="134">
      <c r="A134" s="64" t="s">
        <v>164</v>
      </c>
      <c r="B134" s="65">
        <v>2012.0</v>
      </c>
      <c r="C134" s="66">
        <v>367569.2</v>
      </c>
      <c r="D134" s="49">
        <f t="array" ref="D134">C134 / XLOOKUP(B134, india_reference!A:A, india_reference!B:B)</f>
        <v>0.05669773426</v>
      </c>
    </row>
    <row r="135">
      <c r="A135" s="64" t="s">
        <v>164</v>
      </c>
      <c r="B135" s="65">
        <v>2013.0</v>
      </c>
      <c r="C135" s="66">
        <v>409220.2</v>
      </c>
      <c r="D135" s="49">
        <f t="array" ref="D135">C135 / XLOOKUP(B135, india_reference!A:A, india_reference!B:B)</f>
        <v>0.0612402117</v>
      </c>
    </row>
    <row r="136">
      <c r="A136" s="64" t="s">
        <v>164</v>
      </c>
      <c r="B136" s="65">
        <v>2014.0</v>
      </c>
      <c r="C136" s="66">
        <v>380418.8</v>
      </c>
      <c r="D136" s="49">
        <f t="array" ref="D136">C136 / XLOOKUP(B136, india_reference!A:A, india_reference!B:B)</f>
        <v>0.05559721893</v>
      </c>
    </row>
    <row r="137">
      <c r="A137" s="64" t="s">
        <v>164</v>
      </c>
      <c r="B137" s="65">
        <v>2015.0</v>
      </c>
      <c r="C137" s="66">
        <v>412303.4</v>
      </c>
      <c r="D137" s="49">
        <f t="array" ref="D137">C137 / XLOOKUP(B137, india_reference!A:A, india_reference!B:B)</f>
        <v>0.05896036418</v>
      </c>
    </row>
    <row r="138">
      <c r="A138" s="64" t="s">
        <v>164</v>
      </c>
      <c r="B138" s="65">
        <v>2016.0</v>
      </c>
      <c r="C138" s="66">
        <v>410070.8</v>
      </c>
      <c r="D138" s="49">
        <f t="array" ref="D138">C138 / XLOOKUP(B138, india_reference!A:A, india_reference!B:B)</f>
        <v>0.05636092251</v>
      </c>
    </row>
    <row r="139">
      <c r="A139" s="64" t="s">
        <v>164</v>
      </c>
      <c r="B139" s="65">
        <v>2017.0</v>
      </c>
      <c r="C139" s="66">
        <v>440651.0</v>
      </c>
      <c r="D139" s="49">
        <f t="array" ref="D139">C139 / XLOOKUP(B139, india_reference!A:A, india_reference!B:B)</f>
        <v>0.05764993167</v>
      </c>
    </row>
    <row r="140">
      <c r="A140" s="64" t="s">
        <v>164</v>
      </c>
      <c r="B140" s="65">
        <v>2018.0</v>
      </c>
      <c r="C140" s="66">
        <v>411722.7</v>
      </c>
      <c r="D140" s="49">
        <f t="array" ref="D140">C140 / XLOOKUP(B140, india_reference!A:A, india_reference!B:B)</f>
        <v>0.05251435775</v>
      </c>
    </row>
    <row r="141">
      <c r="A141" s="64" t="s">
        <v>164</v>
      </c>
      <c r="B141" s="65">
        <v>2019.0</v>
      </c>
      <c r="C141" s="66">
        <v>429521.2</v>
      </c>
      <c r="D141" s="49">
        <f t="array" ref="D141">C141 / XLOOKUP(B141, india_reference!A:A, india_reference!B:B)</f>
        <v>0.05434722837</v>
      </c>
    </row>
    <row r="142">
      <c r="A142" s="64" t="s">
        <v>164</v>
      </c>
      <c r="B142" s="65">
        <v>2020.0</v>
      </c>
      <c r="C142" s="66">
        <v>431681.9</v>
      </c>
      <c r="D142" s="49">
        <f t="array" ref="D142">C142 / XLOOKUP(B142, india_reference!A:A, india_reference!B:B)</f>
        <v>0.05337768677</v>
      </c>
    </row>
    <row r="143">
      <c r="A143" s="64" t="s">
        <v>164</v>
      </c>
      <c r="B143" s="65">
        <v>2021.0</v>
      </c>
      <c r="C143" s="66">
        <v>458358.7</v>
      </c>
      <c r="D143" s="49">
        <f t="array" ref="D143">C143 / XLOOKUP(B143, india_reference!A:A, india_reference!B:B)</f>
        <v>0.0551474111</v>
      </c>
    </row>
    <row r="144">
      <c r="A144" s="64" t="s">
        <v>164</v>
      </c>
      <c r="B144" s="65">
        <v>2022.0</v>
      </c>
      <c r="C144" s="66">
        <v>438254.3</v>
      </c>
      <c r="D144" s="49">
        <f t="array" ref="D144">C144 / XLOOKUP(B144, india_reference!A:A, india_reference!B:B)</f>
        <v>0.05092946968</v>
      </c>
    </row>
    <row r="145">
      <c r="A145" s="64" t="s">
        <v>164</v>
      </c>
      <c r="B145" s="65">
        <v>2023.0</v>
      </c>
      <c r="C145" s="66">
        <v>428529.7</v>
      </c>
      <c r="D145" s="49">
        <f t="array" ref="D145">C145 / XLOOKUP(B145, india_reference!A:A, india_reference!B:B)</f>
        <v>0.04979935794</v>
      </c>
    </row>
    <row r="146">
      <c r="A146" s="64" t="s">
        <v>165</v>
      </c>
      <c r="B146" s="65">
        <v>2000.0</v>
      </c>
      <c r="C146" s="66">
        <v>176438.7</v>
      </c>
      <c r="D146" s="49">
        <f t="array" ref="D146">C146 / XLOOKUP(B146, india_reference!A:A, india_reference!B:B)</f>
        <v>0.03349952847</v>
      </c>
    </row>
    <row r="147">
      <c r="A147" s="64" t="s">
        <v>165</v>
      </c>
      <c r="B147" s="65">
        <v>2001.0</v>
      </c>
      <c r="C147" s="66">
        <v>161050.2</v>
      </c>
      <c r="D147" s="49">
        <f t="array" ref="D147">C147 / XLOOKUP(B147, india_reference!A:A, india_reference!B:B)</f>
        <v>0.03012258127</v>
      </c>
    </row>
    <row r="148">
      <c r="A148" s="64" t="s">
        <v>165</v>
      </c>
      <c r="B148" s="65">
        <v>2002.0</v>
      </c>
      <c r="C148" s="66">
        <v>196934.2</v>
      </c>
      <c r="D148" s="49">
        <f t="array" ref="D148">C148 / XLOOKUP(B148, india_reference!A:A, india_reference!B:B)</f>
        <v>0.03663732593</v>
      </c>
    </row>
    <row r="149">
      <c r="A149" s="64" t="s">
        <v>165</v>
      </c>
      <c r="B149" s="65">
        <v>2003.0</v>
      </c>
      <c r="C149" s="66">
        <v>205162.5</v>
      </c>
      <c r="D149" s="49">
        <f t="array" ref="D149">C149 / XLOOKUP(B149, india_reference!A:A, india_reference!B:B)</f>
        <v>0.03770367981</v>
      </c>
    </row>
    <row r="150">
      <c r="A150" s="64" t="s">
        <v>165</v>
      </c>
      <c r="B150" s="65">
        <v>2004.0</v>
      </c>
      <c r="C150" s="66">
        <v>222808.7</v>
      </c>
      <c r="D150" s="49">
        <f t="array" ref="D150">C150 / XLOOKUP(B150, india_reference!A:A, india_reference!B:B)</f>
        <v>0.04007602276</v>
      </c>
    </row>
    <row r="151">
      <c r="A151" s="64" t="s">
        <v>165</v>
      </c>
      <c r="B151" s="65">
        <v>2005.0</v>
      </c>
      <c r="C151" s="66">
        <v>264563.0</v>
      </c>
      <c r="D151" s="49">
        <f t="array" ref="D151">C151 / XLOOKUP(B151, india_reference!A:A, india_reference!B:B)</f>
        <v>0.04684669338</v>
      </c>
    </row>
    <row r="152">
      <c r="A152" s="64" t="s">
        <v>165</v>
      </c>
      <c r="B152" s="65">
        <v>2006.0</v>
      </c>
      <c r="C152" s="66">
        <v>273038.2</v>
      </c>
      <c r="D152" s="49">
        <f t="array" ref="D152">C152 / XLOOKUP(B152, india_reference!A:A, india_reference!B:B)</f>
        <v>0.04720140042</v>
      </c>
    </row>
    <row r="153">
      <c r="A153" s="64" t="s">
        <v>165</v>
      </c>
      <c r="B153" s="65">
        <v>2007.0</v>
      </c>
      <c r="C153" s="66">
        <v>299801.8</v>
      </c>
      <c r="D153" s="49">
        <f t="array" ref="D153">C153 / XLOOKUP(B153, india_reference!A:A, india_reference!B:B)</f>
        <v>0.05062866646</v>
      </c>
    </row>
    <row r="154">
      <c r="A154" s="64" t="s">
        <v>165</v>
      </c>
      <c r="B154" s="65">
        <v>2008.0</v>
      </c>
      <c r="C154" s="66">
        <v>277266.8</v>
      </c>
      <c r="D154" s="49">
        <f t="array" ref="D154">C154 / XLOOKUP(B154, india_reference!A:A, india_reference!B:B)</f>
        <v>0.04614812576</v>
      </c>
    </row>
    <row r="155">
      <c r="A155" s="64" t="s">
        <v>165</v>
      </c>
      <c r="B155" s="65">
        <v>2009.0</v>
      </c>
      <c r="C155" s="66">
        <v>258305.2</v>
      </c>
      <c r="D155" s="49">
        <f t="array" ref="D155">C155 / XLOOKUP(B155, india_reference!A:A, india_reference!B:B)</f>
        <v>0.04233195021</v>
      </c>
    </row>
    <row r="156">
      <c r="A156" s="64" t="s">
        <v>165</v>
      </c>
      <c r="B156" s="65">
        <v>2010.0</v>
      </c>
      <c r="C156" s="66">
        <v>285233.8</v>
      </c>
      <c r="D156" s="49">
        <f t="array" ref="D156">C156 / XLOOKUP(B156, india_reference!A:A, india_reference!B:B)</f>
        <v>0.04538523312</v>
      </c>
    </row>
    <row r="157">
      <c r="A157" s="64" t="s">
        <v>165</v>
      </c>
      <c r="B157" s="65">
        <v>2011.0</v>
      </c>
      <c r="C157" s="66">
        <v>278232.0</v>
      </c>
      <c r="D157" s="49">
        <f t="array" ref="D157">C157 / XLOOKUP(B157, india_reference!A:A, india_reference!B:B)</f>
        <v>0.04368193537</v>
      </c>
    </row>
    <row r="158">
      <c r="A158" s="64" t="s">
        <v>165</v>
      </c>
      <c r="B158" s="65">
        <v>2012.0</v>
      </c>
      <c r="C158" s="66">
        <v>274834.2</v>
      </c>
      <c r="D158" s="49">
        <f t="array" ref="D158">C158 / XLOOKUP(B158, india_reference!A:A, india_reference!B:B)</f>
        <v>0.0423933138</v>
      </c>
    </row>
    <row r="159">
      <c r="A159" s="64" t="s">
        <v>165</v>
      </c>
      <c r="B159" s="65">
        <v>2013.0</v>
      </c>
      <c r="C159" s="66">
        <v>294870.0</v>
      </c>
      <c r="D159" s="49">
        <f t="array" ref="D159">C159 / XLOOKUP(B159, india_reference!A:A, india_reference!B:B)</f>
        <v>0.04412759005</v>
      </c>
    </row>
    <row r="160">
      <c r="A160" s="64" t="s">
        <v>165</v>
      </c>
      <c r="B160" s="65">
        <v>2014.0</v>
      </c>
      <c r="C160" s="66">
        <v>287327.6</v>
      </c>
      <c r="D160" s="49">
        <f t="array" ref="D160">C160 / XLOOKUP(B160, india_reference!A:A, india_reference!B:B)</f>
        <v>0.04199218199</v>
      </c>
    </row>
    <row r="161">
      <c r="A161" s="64" t="s">
        <v>165</v>
      </c>
      <c r="B161" s="65">
        <v>2015.0</v>
      </c>
      <c r="C161" s="66">
        <v>292631.8</v>
      </c>
      <c r="D161" s="49">
        <f t="array" ref="D161">C161 / XLOOKUP(B161, india_reference!A:A, india_reference!B:B)</f>
        <v>0.04184704152</v>
      </c>
    </row>
    <row r="162">
      <c r="A162" s="64" t="s">
        <v>165</v>
      </c>
      <c r="B162" s="65">
        <v>2016.0</v>
      </c>
      <c r="C162" s="66">
        <v>263898.2</v>
      </c>
      <c r="D162" s="49">
        <f t="array" ref="D162">C162 / XLOOKUP(B162, india_reference!A:A, india_reference!B:B)</f>
        <v>0.03627067814</v>
      </c>
    </row>
    <row r="163">
      <c r="A163" s="64" t="s">
        <v>165</v>
      </c>
      <c r="B163" s="65">
        <v>2017.0</v>
      </c>
      <c r="C163" s="66">
        <v>294713.2</v>
      </c>
      <c r="D163" s="49">
        <f t="array" ref="D163">C163 / XLOOKUP(B163, india_reference!A:A, india_reference!B:B)</f>
        <v>0.03855703458</v>
      </c>
    </row>
    <row r="164">
      <c r="A164" s="64" t="s">
        <v>165</v>
      </c>
      <c r="B164" s="65">
        <v>2018.0</v>
      </c>
      <c r="C164" s="66">
        <v>304668.6</v>
      </c>
      <c r="D164" s="49">
        <f t="array" ref="D164">C164 / XLOOKUP(B164, india_reference!A:A, india_reference!B:B)</f>
        <v>0.03885983419</v>
      </c>
    </row>
    <row r="165">
      <c r="A165" s="64" t="s">
        <v>165</v>
      </c>
      <c r="B165" s="65">
        <v>2019.0</v>
      </c>
      <c r="C165" s="66">
        <v>327551.8</v>
      </c>
      <c r="D165" s="49">
        <f t="array" ref="D165">C165 / XLOOKUP(B165, india_reference!A:A, india_reference!B:B)</f>
        <v>0.04144506133</v>
      </c>
    </row>
    <row r="166">
      <c r="A166" s="64" t="s">
        <v>165</v>
      </c>
      <c r="B166" s="65">
        <v>2020.0</v>
      </c>
      <c r="C166" s="66">
        <v>301197.1</v>
      </c>
      <c r="D166" s="49">
        <f t="array" ref="D166">C166 / XLOOKUP(B166, india_reference!A:A, india_reference!B:B)</f>
        <v>0.0372431748</v>
      </c>
    </row>
    <row r="167">
      <c r="A167" s="64" t="s">
        <v>165</v>
      </c>
      <c r="B167" s="65">
        <v>2021.0</v>
      </c>
      <c r="C167" s="66">
        <v>343113.7</v>
      </c>
      <c r="D167" s="49">
        <f t="array" ref="D167">C167 / XLOOKUP(B167, india_reference!A:A, india_reference!B:B)</f>
        <v>0.04128171292</v>
      </c>
    </row>
    <row r="168">
      <c r="A168" s="64" t="s">
        <v>165</v>
      </c>
      <c r="B168" s="65">
        <v>2022.0</v>
      </c>
      <c r="C168" s="66">
        <v>316524.2</v>
      </c>
      <c r="D168" s="49">
        <f t="array" ref="D168">C168 / XLOOKUP(B168, india_reference!A:A, india_reference!B:B)</f>
        <v>0.03678323213</v>
      </c>
    </row>
    <row r="169">
      <c r="A169" s="64" t="s">
        <v>165</v>
      </c>
      <c r="B169" s="65">
        <v>2023.0</v>
      </c>
      <c r="C169" s="66">
        <v>316524.2</v>
      </c>
      <c r="D169" s="49">
        <f t="array" ref="D169">C169 / XLOOKUP(B169, india_reference!A:A, india_reference!B:B)</f>
        <v>0.0367832193</v>
      </c>
    </row>
    <row r="170">
      <c r="A170" s="64" t="s">
        <v>166</v>
      </c>
      <c r="B170" s="65">
        <v>2000.0</v>
      </c>
      <c r="C170" s="66">
        <v>2549094.0</v>
      </c>
      <c r="D170" s="49">
        <f t="array" ref="D170">C170 / XLOOKUP(B170, india_reference!A:A, india_reference!B:B)</f>
        <v>0.4839836557</v>
      </c>
    </row>
    <row r="171">
      <c r="A171" s="64" t="s">
        <v>166</v>
      </c>
      <c r="B171" s="65">
        <v>2001.0</v>
      </c>
      <c r="C171" s="66">
        <v>2287076.0</v>
      </c>
      <c r="D171" s="49">
        <f t="array" ref="D171">C171 / XLOOKUP(B171, india_reference!A:A, india_reference!B:B)</f>
        <v>0.4277711712</v>
      </c>
    </row>
    <row r="172">
      <c r="A172" s="64" t="s">
        <v>166</v>
      </c>
      <c r="B172" s="65">
        <v>2002.0</v>
      </c>
      <c r="C172" s="66">
        <v>2261186.0</v>
      </c>
      <c r="D172" s="49">
        <f t="array" ref="D172">C172 / XLOOKUP(B172, india_reference!A:A, india_reference!B:B)</f>
        <v>0.4206674537</v>
      </c>
    </row>
    <row r="173">
      <c r="A173" s="64" t="s">
        <v>166</v>
      </c>
      <c r="B173" s="65">
        <v>2003.0</v>
      </c>
      <c r="C173" s="66">
        <v>2465591.0</v>
      </c>
      <c r="D173" s="49">
        <f t="array" ref="D173">C173 / XLOOKUP(B173, india_reference!A:A, india_reference!B:B)</f>
        <v>0.4531132815</v>
      </c>
    </row>
    <row r="174">
      <c r="A174" s="64" t="s">
        <v>166</v>
      </c>
      <c r="B174" s="65">
        <v>2004.0</v>
      </c>
      <c r="C174" s="66">
        <v>2623778.0</v>
      </c>
      <c r="D174" s="49">
        <f t="array" ref="D174">C174 / XLOOKUP(B174, india_reference!A:A, india_reference!B:B)</f>
        <v>0.4719321411</v>
      </c>
    </row>
    <row r="175">
      <c r="A175" s="64" t="s">
        <v>166</v>
      </c>
      <c r="B175" s="65">
        <v>2005.0</v>
      </c>
      <c r="C175" s="66">
        <v>2762494.0</v>
      </c>
      <c r="D175" s="49">
        <f t="array" ref="D175">C175 / XLOOKUP(B175, india_reference!A:A, india_reference!B:B)</f>
        <v>0.4891602733</v>
      </c>
    </row>
    <row r="176">
      <c r="A176" s="64" t="s">
        <v>166</v>
      </c>
      <c r="B176" s="65">
        <v>2006.0</v>
      </c>
      <c r="C176" s="66">
        <v>2802271.0</v>
      </c>
      <c r="D176" s="49">
        <f t="array" ref="D176">C176 / XLOOKUP(B176, india_reference!A:A, india_reference!B:B)</f>
        <v>0.4844417945</v>
      </c>
    </row>
    <row r="177">
      <c r="A177" s="64" t="s">
        <v>166</v>
      </c>
      <c r="B177" s="65">
        <v>2007.0</v>
      </c>
      <c r="C177" s="66">
        <v>2930707.0</v>
      </c>
      <c r="D177" s="49">
        <f t="array" ref="D177">C177 / XLOOKUP(B177, india_reference!A:A, india_reference!B:B)</f>
        <v>0.4949196009</v>
      </c>
    </row>
    <row r="178">
      <c r="A178" s="64" t="s">
        <v>166</v>
      </c>
      <c r="B178" s="65">
        <v>2008.0</v>
      </c>
      <c r="C178" s="66">
        <v>3144068.0</v>
      </c>
      <c r="D178" s="49">
        <f t="array" ref="D178">C178 / XLOOKUP(B178, india_reference!A:A, india_reference!B:B)</f>
        <v>0.5232968587</v>
      </c>
    </row>
    <row r="179">
      <c r="A179" s="64" t="s">
        <v>166</v>
      </c>
      <c r="B179" s="65">
        <v>2009.0</v>
      </c>
      <c r="C179" s="66">
        <v>3107187.0</v>
      </c>
      <c r="D179" s="49">
        <f t="array" ref="D179">C179 / XLOOKUP(B179, india_reference!A:A, india_reference!B:B)</f>
        <v>0.50921656</v>
      </c>
    </row>
    <row r="180">
      <c r="A180" s="64" t="s">
        <v>166</v>
      </c>
      <c r="B180" s="65">
        <v>2010.0</v>
      </c>
      <c r="C180" s="66">
        <v>3402060.0</v>
      </c>
      <c r="D180" s="49">
        <f t="array" ref="D180">C180 / XLOOKUP(B180, india_reference!A:A, india_reference!B:B)</f>
        <v>0.5413218426</v>
      </c>
    </row>
    <row r="181">
      <c r="A181" s="64" t="s">
        <v>166</v>
      </c>
      <c r="B181" s="65">
        <v>2011.0</v>
      </c>
      <c r="C181" s="66">
        <v>3534919.0</v>
      </c>
      <c r="D181" s="49">
        <f t="array" ref="D181">C181 / XLOOKUP(B181, india_reference!A:A, india_reference!B:B)</f>
        <v>0.554976075</v>
      </c>
    </row>
    <row r="182">
      <c r="A182" s="64" t="s">
        <v>166</v>
      </c>
      <c r="B182" s="65">
        <v>2012.0</v>
      </c>
      <c r="C182" s="66">
        <v>3442465.0</v>
      </c>
      <c r="D182" s="49">
        <f t="array" ref="D182">C182 / XLOOKUP(B182, india_reference!A:A, india_reference!B:B)</f>
        <v>0.5310019604</v>
      </c>
    </row>
    <row r="183">
      <c r="A183" s="64" t="s">
        <v>166</v>
      </c>
      <c r="B183" s="65">
        <v>2013.0</v>
      </c>
      <c r="C183" s="66">
        <v>3673486.0</v>
      </c>
      <c r="D183" s="49">
        <f t="array" ref="D183">C183 / XLOOKUP(B183, india_reference!A:A, india_reference!B:B)</f>
        <v>0.5497408494</v>
      </c>
    </row>
    <row r="184">
      <c r="A184" s="64" t="s">
        <v>166</v>
      </c>
      <c r="B184" s="65">
        <v>2014.0</v>
      </c>
      <c r="C184" s="66">
        <v>3850448.0</v>
      </c>
      <c r="D184" s="49">
        <f t="array" ref="D184">C184 / XLOOKUP(B184, india_reference!A:A, india_reference!B:B)</f>
        <v>0.5627329681</v>
      </c>
    </row>
    <row r="185">
      <c r="A185" s="64" t="s">
        <v>166</v>
      </c>
      <c r="B185" s="65">
        <v>2015.0</v>
      </c>
      <c r="C185" s="66">
        <v>3705550.0</v>
      </c>
      <c r="D185" s="49">
        <f t="array" ref="D185">C185 / XLOOKUP(B185, india_reference!A:A, india_reference!B:B)</f>
        <v>0.5299024395</v>
      </c>
    </row>
    <row r="186">
      <c r="A186" s="64" t="s">
        <v>166</v>
      </c>
      <c r="B186" s="65">
        <v>2016.0</v>
      </c>
      <c r="C186" s="66">
        <v>3666044.0</v>
      </c>
      <c r="D186" s="49">
        <f t="array" ref="D186">C186 / XLOOKUP(B186, india_reference!A:A, india_reference!B:B)</f>
        <v>0.5038681657</v>
      </c>
    </row>
    <row r="187">
      <c r="A187" s="64" t="s">
        <v>166</v>
      </c>
      <c r="B187" s="65">
        <v>2017.0</v>
      </c>
      <c r="C187" s="66">
        <v>3692296.0</v>
      </c>
      <c r="D187" s="49">
        <f t="array" ref="D187">C187 / XLOOKUP(B187, india_reference!A:A, india_reference!B:B)</f>
        <v>0.4830594101</v>
      </c>
    </row>
    <row r="188">
      <c r="A188" s="64" t="s">
        <v>166</v>
      </c>
      <c r="B188" s="65">
        <v>2018.0</v>
      </c>
      <c r="C188" s="66">
        <v>4023660.0</v>
      </c>
      <c r="D188" s="49">
        <f t="array" ref="D188">C188 / XLOOKUP(B188, india_reference!A:A, india_reference!B:B)</f>
        <v>0.5132093049</v>
      </c>
    </row>
    <row r="189">
      <c r="A189" s="64" t="s">
        <v>166</v>
      </c>
      <c r="B189" s="65">
        <v>2019.0</v>
      </c>
      <c r="C189" s="66">
        <v>4023175.0</v>
      </c>
      <c r="D189" s="49">
        <f t="array" ref="D189">C189 / XLOOKUP(B189, india_reference!A:A, india_reference!B:B)</f>
        <v>0.5090514985</v>
      </c>
    </row>
    <row r="190">
      <c r="A190" s="64" t="s">
        <v>166</v>
      </c>
      <c r="B190" s="65">
        <v>2020.0</v>
      </c>
      <c r="C190" s="66">
        <v>3701302.0</v>
      </c>
      <c r="D190" s="49">
        <f t="array" ref="D190">C190 / XLOOKUP(B190, india_reference!A:A, india_reference!B:B)</f>
        <v>0.4576678772</v>
      </c>
    </row>
    <row r="191">
      <c r="A191" s="64" t="s">
        <v>166</v>
      </c>
      <c r="B191" s="65">
        <v>2021.0</v>
      </c>
      <c r="C191" s="66">
        <v>3910839.0</v>
      </c>
      <c r="D191" s="49">
        <f t="array" ref="D191">C191 / XLOOKUP(B191, india_reference!A:A, india_reference!B:B)</f>
        <v>0.4705324587</v>
      </c>
    </row>
    <row r="192">
      <c r="A192" s="64" t="s">
        <v>166</v>
      </c>
      <c r="B192" s="65">
        <v>2022.0</v>
      </c>
      <c r="C192" s="66">
        <v>3947008.0</v>
      </c>
      <c r="D192" s="49">
        <f t="array" ref="D192">C192 / XLOOKUP(B192, india_reference!A:A, india_reference!B:B)</f>
        <v>0.4586812366</v>
      </c>
    </row>
    <row r="193">
      <c r="A193" s="64" t="s">
        <v>166</v>
      </c>
      <c r="B193" s="65">
        <v>2023.0</v>
      </c>
      <c r="C193" s="66">
        <v>4102686.0</v>
      </c>
      <c r="D193" s="49">
        <f t="array" ref="D193">C193 / XLOOKUP(B193, india_reference!A:A, india_reference!B:B)</f>
        <v>0.4767723885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>
        <v>2000.0</v>
      </c>
      <c r="B1" s="66">
        <v>5266901.0</v>
      </c>
    </row>
    <row r="2">
      <c r="A2" s="67">
        <v>2001.0</v>
      </c>
      <c r="B2" s="66">
        <v>5346494.0</v>
      </c>
    </row>
    <row r="3">
      <c r="A3" s="67">
        <v>2002.0</v>
      </c>
      <c r="B3" s="66">
        <v>5375234.0</v>
      </c>
    </row>
    <row r="4">
      <c r="A4" s="67">
        <v>2003.0</v>
      </c>
      <c r="B4" s="66">
        <v>5441445.0</v>
      </c>
    </row>
    <row r="5">
      <c r="A5" s="67">
        <v>2004.0</v>
      </c>
      <c r="B5" s="66">
        <v>5559651.0</v>
      </c>
    </row>
    <row r="6">
      <c r="A6" s="67">
        <v>2005.0</v>
      </c>
      <c r="B6" s="66">
        <v>5647421.0</v>
      </c>
    </row>
    <row r="7">
      <c r="A7" s="67">
        <v>2006.0</v>
      </c>
      <c r="B7" s="66">
        <v>5784536.0</v>
      </c>
    </row>
    <row r="8">
      <c r="A8" s="67">
        <v>2007.0</v>
      </c>
      <c r="B8" s="66">
        <v>5921582.0</v>
      </c>
    </row>
    <row r="9">
      <c r="A9" s="67">
        <v>2008.0</v>
      </c>
      <c r="B9" s="66">
        <v>6008192.0</v>
      </c>
    </row>
    <row r="10">
      <c r="A10" s="67">
        <v>2009.0</v>
      </c>
      <c r="B10" s="66">
        <v>6101897.0</v>
      </c>
    </row>
    <row r="11">
      <c r="A11" s="67">
        <v>2010.0</v>
      </c>
      <c r="B11" s="66">
        <v>6284727.0</v>
      </c>
    </row>
    <row r="12">
      <c r="A12" s="67">
        <v>2011.0</v>
      </c>
      <c r="B12" s="66">
        <v>6369498.0</v>
      </c>
    </row>
    <row r="13">
      <c r="A13" s="67">
        <v>2012.0</v>
      </c>
      <c r="B13" s="66">
        <v>6482961.0</v>
      </c>
    </row>
    <row r="14">
      <c r="A14" s="67">
        <v>2013.0</v>
      </c>
      <c r="B14" s="66">
        <v>6682214.0</v>
      </c>
    </row>
    <row r="15">
      <c r="A15" s="67">
        <v>2014.0</v>
      </c>
      <c r="B15" s="66">
        <v>6842407.0</v>
      </c>
    </row>
    <row r="16">
      <c r="A16" s="67">
        <v>2015.0</v>
      </c>
      <c r="B16" s="66">
        <v>6992891.0</v>
      </c>
    </row>
    <row r="17">
      <c r="A17" s="67">
        <v>2016.0</v>
      </c>
      <c r="B17" s="66">
        <v>7275800.0</v>
      </c>
    </row>
    <row r="18">
      <c r="A18" s="67">
        <v>2017.0</v>
      </c>
      <c r="B18" s="66">
        <v>7643565.0</v>
      </c>
    </row>
    <row r="19">
      <c r="A19" s="67">
        <v>2018.0</v>
      </c>
      <c r="B19" s="66">
        <v>7840193.0</v>
      </c>
    </row>
    <row r="20">
      <c r="A20" s="67">
        <v>2019.0</v>
      </c>
      <c r="B20" s="66">
        <v>7903277.0</v>
      </c>
    </row>
    <row r="21">
      <c r="A21" s="67">
        <v>2020.0</v>
      </c>
      <c r="B21" s="66">
        <v>8087310.0</v>
      </c>
    </row>
    <row r="22">
      <c r="A22" s="67">
        <v>2021.0</v>
      </c>
      <c r="B22" s="66">
        <v>8311518.0</v>
      </c>
    </row>
    <row r="23">
      <c r="A23" s="67">
        <v>2022.0</v>
      </c>
      <c r="B23" s="66">
        <v>8605122.0</v>
      </c>
    </row>
    <row r="24">
      <c r="A24" s="68">
        <v>2023.0</v>
      </c>
      <c r="B24" s="48">
        <v>8605125.0</v>
      </c>
    </row>
  </sheetData>
  <drawing r:id="rId1"/>
</worksheet>
</file>